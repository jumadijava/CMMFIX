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yudhi\Downloads\"/>
    </mc:Choice>
  </mc:AlternateContent>
  <bookViews>
    <workbookView xWindow="0" yWindow="0" windowWidth="23040" windowHeight="9072"/>
  </bookViews>
  <sheets>
    <sheet name=" CMM 10" sheetId="14" r:id="rId1"/>
  </sheets>
  <externalReferences>
    <externalReference r:id="rId2"/>
    <externalReference r:id="rId3"/>
    <externalReference r:id="rId4"/>
  </externalReferences>
  <definedNames>
    <definedName name="b">"Bevel Protractor"</definedName>
    <definedName name="bb">" Bebas : burrs, karat, retak, cacat, berubah bentuk &amp; kerusakan lain."</definedName>
    <definedName name="bp">" Bevel Protractor"</definedName>
    <definedName name="ch">"Coating Thick. Gauge"</definedName>
    <definedName name="d">" Diameter"</definedName>
    <definedName name="di">" Diameter Dalam"</definedName>
    <definedName name="dl">" Diameter Lubang"</definedName>
    <definedName name="do">"Diameter Luar"</definedName>
    <definedName name="ds">" Dimensi sudut"</definedName>
    <definedName name="du">" Dimensi Ulir"</definedName>
    <definedName name="h">"Height Gauge"</definedName>
    <definedName name="hb">" Harus baik"</definedName>
    <definedName name="Header" localSheetId="0">[3]ReportImporter!#REF!</definedName>
    <definedName name="Header">[1]ReportImporter!#REF!</definedName>
    <definedName name="hr">" Harus rapi"</definedName>
    <definedName name="i">"Insp. Jig"</definedName>
    <definedName name="j">" Jarak Antara"</definedName>
    <definedName name="jm">" karat &lt; 5%"</definedName>
    <definedName name="js">" Jarak Sumbu"</definedName>
    <definedName name="k">" Kondisi Permukaan"</definedName>
    <definedName name="kk">" Ketahanan thd. karat"</definedName>
    <definedName name="l">" Lebar"</definedName>
    <definedName name="LL">" Letak lubang"</definedName>
    <definedName name="m">"Material Analisis"</definedName>
    <definedName name="ma">"Material Analisis"</definedName>
    <definedName name="o">"OK pada Jig"</definedName>
    <definedName name="p">" Panjang"</definedName>
    <definedName name="pg">"Push Pull Gauge"</definedName>
    <definedName name="pm">" Point Micrometer"</definedName>
    <definedName name="pmr">" Tebal material rata-rata"</definedName>
    <definedName name="_xlnm.Print_Area" localSheetId="0">' CMM 10'!$A$2:$Z$199</definedName>
    <definedName name="ptg">"Plug Thread Gauge"</definedName>
    <definedName name="pura2" localSheetId="0" hidden="1">{#N/A,#N/A,FALSE,"¤•iÝŒÉˆê——"}</definedName>
    <definedName name="pura2" hidden="1">{#N/A,#N/A,FALSE,"¤•iÝŒÉˆê——"}</definedName>
    <definedName name="rtg">"Ring Thread Gauge"</definedName>
    <definedName name="s">" Dimensi sudut"</definedName>
    <definedName name="SST">" Salt Spray Tes 48 Jam"</definedName>
    <definedName name="st">" Surface Treatment"</definedName>
    <definedName name="t">" Tinggi"</definedName>
    <definedName name="tl">" Tidak boleh luntur"</definedName>
    <definedName name="tm">" Tebal Material"</definedName>
    <definedName name="tmr">" Tebal material rata-rata"</definedName>
    <definedName name="tq">" Torque Meter"</definedName>
    <definedName name="trr">" Tebal material rata-rata"</definedName>
    <definedName name="ug">"Ulir Nut 6 mm"</definedName>
    <definedName name="us">"Ulir Nut 8 mm"</definedName>
    <definedName name="v">" Vernier Caliper"</definedName>
    <definedName name="vi">"Visual Check"</definedName>
    <definedName name="wrn.960207." localSheetId="0" hidden="1">{#N/A,#N/A,FALSE,"¤•iÝŒÉˆê——"}</definedName>
    <definedName name="wrn.960207." hidden="1">{#N/A,#N/A,FALSE,"¤•iÝŒÉˆê——"}</definedName>
  </definedNames>
  <calcPr calcId="162913"/>
</workbook>
</file>

<file path=xl/calcChain.xml><?xml version="1.0" encoding="utf-8"?>
<calcChain xmlns="http://schemas.openxmlformats.org/spreadsheetml/2006/main">
  <c r="S11" i="14" l="1"/>
  <c r="Y66" i="14"/>
  <c r="Z66" i="14"/>
  <c r="Z99" i="14"/>
  <c r="Z129" i="14"/>
  <c r="Z144" i="14"/>
  <c r="Y174" i="14"/>
  <c r="Y39" i="14"/>
  <c r="Z36" i="14"/>
  <c r="R36" i="14"/>
  <c r="W36" i="14"/>
  <c r="Q39" i="14"/>
  <c r="S39" i="14"/>
  <c r="V39" i="14"/>
  <c r="W39" i="14"/>
  <c r="W45" i="14"/>
  <c r="S135" i="14"/>
  <c r="V135" i="14"/>
  <c r="Q138" i="14"/>
  <c r="W138" i="14"/>
  <c r="B92" i="14"/>
  <c r="R168" i="14"/>
  <c r="T126" i="14"/>
  <c r="U132" i="14"/>
  <c r="V132" i="14"/>
  <c r="S129" i="14"/>
  <c r="T156" i="14"/>
  <c r="T153" i="14"/>
  <c r="W147" i="14"/>
  <c r="Q150" i="14"/>
  <c r="V150" i="14"/>
  <c r="T144" i="14"/>
  <c r="X144" i="14"/>
  <c r="R174" i="14"/>
  <c r="S48" i="14"/>
  <c r="U48" i="14"/>
  <c r="V63" i="14"/>
  <c r="W63" i="14"/>
  <c r="Q54" i="14"/>
  <c r="S99" i="14"/>
  <c r="U99" i="14"/>
  <c r="S111" i="14"/>
  <c r="V111" i="14"/>
  <c r="W114" i="14"/>
  <c r="X51" i="14"/>
  <c r="X105" i="14"/>
  <c r="R51" i="14"/>
  <c r="U51" i="14"/>
  <c r="Q102" i="14"/>
  <c r="R96" i="14"/>
  <c r="V96" i="14"/>
  <c r="U66" i="14"/>
  <c r="Q66" i="14"/>
  <c r="T57" i="14"/>
  <c r="V60" i="14"/>
  <c r="V120" i="14"/>
  <c r="W93" i="14"/>
  <c r="Q168" i="14"/>
  <c r="U111" i="14"/>
  <c r="Z150" i="14"/>
  <c r="S138" i="14"/>
  <c r="V138" i="14"/>
  <c r="Y150" i="14"/>
  <c r="Q114" i="14"/>
  <c r="Y120" i="14"/>
  <c r="V126" i="14"/>
  <c r="S123" i="14"/>
  <c r="U39" i="14"/>
  <c r="V171" i="14"/>
  <c r="S120" i="14"/>
  <c r="S93" i="14"/>
  <c r="X168" i="14"/>
  <c r="S66" i="14"/>
  <c r="Q36" i="14"/>
  <c r="X111" i="14"/>
  <c r="Z111" i="14"/>
  <c r="Z147" i="14"/>
  <c r="Y123" i="14"/>
  <c r="Q99" i="14"/>
  <c r="U150" i="14"/>
  <c r="S147" i="14"/>
  <c r="X165" i="14"/>
  <c r="R123" i="14"/>
  <c r="Q147" i="14"/>
  <c r="Q162" i="14"/>
  <c r="Q45" i="14"/>
  <c r="X150" i="14"/>
  <c r="V99" i="14"/>
  <c r="S132" i="14"/>
  <c r="S36" i="14"/>
  <c r="Z120" i="14"/>
  <c r="R144" i="14"/>
  <c r="R60" i="14"/>
  <c r="X129" i="14"/>
  <c r="W153" i="14"/>
  <c r="Q129" i="14"/>
  <c r="U108" i="14"/>
  <c r="V108" i="14"/>
  <c r="T102" i="14"/>
  <c r="S102" i="14"/>
  <c r="V114" i="14"/>
  <c r="R57" i="14"/>
  <c r="S45" i="14"/>
  <c r="R66" i="14"/>
  <c r="X36" i="14"/>
  <c r="Q120" i="14"/>
  <c r="U93" i="14"/>
  <c r="X102" i="14"/>
  <c r="T168" i="14"/>
  <c r="W102" i="14"/>
  <c r="X159" i="14"/>
  <c r="T51" i="14"/>
  <c r="U159" i="14"/>
  <c r="U123" i="14"/>
  <c r="Q171" i="14"/>
  <c r="T66" i="14"/>
  <c r="U105" i="14"/>
  <c r="V153" i="14"/>
  <c r="W111" i="14"/>
  <c r="S54" i="14"/>
  <c r="U114" i="14"/>
  <c r="Y117" i="14"/>
  <c r="V165" i="14"/>
  <c r="T96" i="14"/>
  <c r="R48" i="14"/>
  <c r="W132" i="14"/>
  <c r="Z54" i="14"/>
  <c r="X135" i="14"/>
  <c r="Z156" i="14"/>
  <c r="Y114" i="14"/>
  <c r="W42" i="14"/>
  <c r="R165" i="14"/>
  <c r="W120" i="14"/>
  <c r="X93" i="14"/>
  <c r="R114" i="14"/>
  <c r="X63" i="14"/>
  <c r="Z159" i="14"/>
  <c r="Z132" i="14"/>
  <c r="Z51" i="14"/>
  <c r="Z45" i="14"/>
  <c r="Z135" i="14"/>
  <c r="Z165" i="14"/>
  <c r="Z162" i="14"/>
  <c r="Y36" i="14"/>
  <c r="Y96" i="14"/>
  <c r="Y129" i="14"/>
  <c r="Y48" i="14"/>
  <c r="Y45" i="14"/>
  <c r="Y93" i="14"/>
  <c r="X99" i="14"/>
  <c r="X45" i="14"/>
  <c r="X114" i="14"/>
  <c r="X156" i="14"/>
  <c r="X147" i="14"/>
  <c r="W51" i="14"/>
  <c r="W168" i="14"/>
  <c r="W99" i="14"/>
  <c r="W144" i="14"/>
  <c r="W156" i="14"/>
  <c r="W159" i="14"/>
  <c r="W150" i="14"/>
  <c r="V144" i="14"/>
  <c r="V129" i="14"/>
  <c r="V36" i="14"/>
  <c r="V147" i="14"/>
  <c r="V42" i="14"/>
  <c r="V123" i="14"/>
  <c r="V159" i="14"/>
  <c r="V45" i="14"/>
  <c r="V54" i="14"/>
  <c r="U129" i="14"/>
  <c r="U135" i="14"/>
  <c r="U45" i="14"/>
  <c r="U138" i="14"/>
  <c r="U42" i="14"/>
  <c r="U147" i="14"/>
  <c r="U120" i="14"/>
  <c r="U165" i="14"/>
  <c r="U144" i="14"/>
  <c r="U54" i="14"/>
  <c r="T39" i="14"/>
  <c r="T45" i="14"/>
  <c r="T99" i="14"/>
  <c r="T147" i="14"/>
  <c r="T63" i="14"/>
  <c r="T120" i="14"/>
  <c r="T162" i="14"/>
  <c r="T36" i="14"/>
  <c r="S165" i="14"/>
  <c r="S96" i="14"/>
  <c r="S156" i="14"/>
  <c r="S144" i="14"/>
  <c r="R99" i="14"/>
  <c r="R150" i="14"/>
  <c r="R153" i="14"/>
  <c r="R138" i="14"/>
  <c r="R132" i="14"/>
  <c r="R162" i="14"/>
  <c r="R129" i="14"/>
  <c r="R135" i="14"/>
  <c r="R42" i="14"/>
  <c r="W126" i="14"/>
  <c r="V57" i="14"/>
  <c r="R93" i="14"/>
  <c r="V162" i="14"/>
  <c r="R45" i="14"/>
  <c r="Y99" i="14"/>
  <c r="S153" i="14"/>
  <c r="V51" i="14"/>
  <c r="W48" i="14"/>
  <c r="Y144" i="14"/>
  <c r="U156" i="14"/>
  <c r="X123" i="14"/>
  <c r="T129" i="14"/>
  <c r="X132" i="14"/>
  <c r="S126" i="14"/>
  <c r="X138" i="14"/>
  <c r="Z102" i="14"/>
  <c r="Z114" i="14"/>
  <c r="Z96" i="14"/>
  <c r="X42" i="14"/>
  <c r="Q123" i="14"/>
  <c r="X120" i="14"/>
  <c r="Q156" i="14"/>
  <c r="R156" i="14"/>
  <c r="X171" i="14"/>
  <c r="V93" i="14"/>
  <c r="Q96" i="14"/>
  <c r="V102" i="14"/>
  <c r="W129" i="14"/>
  <c r="X66" i="14"/>
  <c r="V156" i="14"/>
  <c r="X162" i="14"/>
  <c r="T159" i="14"/>
  <c r="U36" i="14"/>
  <c r="Z48" i="14"/>
  <c r="Z39" i="14"/>
  <c r="Z153" i="14"/>
  <c r="Y60" i="14"/>
  <c r="W135" i="14"/>
  <c r="Q48" i="14"/>
  <c r="U168" i="14"/>
  <c r="Q93" i="14"/>
  <c r="T111" i="14"/>
  <c r="S171" i="14"/>
  <c r="Q132" i="14"/>
  <c r="R108" i="14"/>
  <c r="W141" i="14"/>
  <c r="Z42" i="14"/>
  <c r="T150" i="14"/>
  <c r="V141" i="14"/>
  <c r="Y141" i="14"/>
  <c r="V168" i="14"/>
  <c r="S42" i="14"/>
  <c r="R39" i="14"/>
  <c r="Z63" i="14"/>
  <c r="Q111" i="14"/>
  <c r="R120" i="14"/>
  <c r="T114" i="14"/>
  <c r="R159" i="14"/>
  <c r="W117" i="14"/>
  <c r="X96" i="14"/>
  <c r="Q69" i="14"/>
  <c r="U69" i="14"/>
  <c r="Y69" i="14"/>
  <c r="S114" i="14"/>
  <c r="X48" i="14"/>
  <c r="Q135" i="14"/>
  <c r="R147" i="14"/>
  <c r="Q153" i="14"/>
  <c r="S141" i="14"/>
  <c r="X39" i="14"/>
  <c r="S105" i="14"/>
  <c r="T165" i="14"/>
  <c r="S168" i="14"/>
  <c r="Q60" i="14"/>
  <c r="U60" i="14"/>
  <c r="S51" i="14"/>
  <c r="Q159" i="14"/>
  <c r="Z60" i="14"/>
  <c r="T54" i="14"/>
  <c r="Z171" i="14"/>
  <c r="S162" i="14"/>
  <c r="R171" i="14"/>
  <c r="W66" i="14"/>
  <c r="Q117" i="14"/>
  <c r="S177" i="14"/>
  <c r="X177" i="14"/>
  <c r="Q177" i="14"/>
  <c r="W108" i="14"/>
  <c r="T171" i="14"/>
  <c r="T132" i="14"/>
  <c r="V48" i="14"/>
  <c r="U102" i="14"/>
  <c r="Y102" i="14"/>
  <c r="R54" i="14"/>
  <c r="Y177" i="14"/>
  <c r="Q51" i="14"/>
  <c r="T123" i="14"/>
  <c r="Q105" i="14"/>
  <c r="Y168" i="14"/>
  <c r="Q42" i="14"/>
  <c r="Y132" i="14"/>
  <c r="S108" i="14"/>
  <c r="U96" i="14"/>
  <c r="Z93" i="14"/>
  <c r="Q144" i="14"/>
  <c r="X108" i="14"/>
  <c r="W165" i="14"/>
  <c r="T93" i="14"/>
  <c r="Y135" i="14"/>
  <c r="R126" i="14"/>
  <c r="W54" i="14"/>
  <c r="S159" i="14"/>
  <c r="Z108" i="14"/>
  <c r="T42" i="14"/>
  <c r="W57" i="14"/>
  <c r="Q108" i="14"/>
  <c r="R102" i="14"/>
  <c r="Z126" i="14"/>
  <c r="U126" i="14"/>
  <c r="T135" i="14"/>
  <c r="W123" i="14"/>
  <c r="Y165" i="14"/>
  <c r="Y159" i="14"/>
  <c r="Q165" i="14"/>
  <c r="Z123" i="14"/>
  <c r="T48" i="14"/>
  <c r="Y108" i="14"/>
  <c r="T108" i="14"/>
  <c r="X54" i="14"/>
  <c r="Y54" i="14"/>
  <c r="W96" i="14"/>
  <c r="U162" i="14"/>
  <c r="U63" i="14"/>
  <c r="Y162" i="14"/>
  <c r="W105" i="14"/>
  <c r="U141" i="14"/>
  <c r="W69" i="14"/>
  <c r="S117" i="14"/>
  <c r="W171" i="14"/>
  <c r="X57" i="14"/>
  <c r="R69" i="14"/>
  <c r="Z105" i="14"/>
  <c r="S150" i="14"/>
  <c r="Q57" i="14"/>
  <c r="Y51" i="14"/>
  <c r="Y105" i="14"/>
  <c r="U57" i="14"/>
  <c r="X126" i="14"/>
  <c r="R141" i="14"/>
  <c r="X117" i="14"/>
  <c r="W177" i="14"/>
  <c r="Z168" i="14"/>
  <c r="S69" i="14"/>
  <c r="T117" i="14"/>
  <c r="S60" i="14"/>
  <c r="T69" i="14"/>
  <c r="Q63" i="14"/>
  <c r="Z57" i="14"/>
  <c r="U117" i="14"/>
  <c r="T141" i="14"/>
  <c r="V117" i="14"/>
  <c r="Y126" i="14"/>
  <c r="S57" i="14"/>
  <c r="Z117" i="14"/>
  <c r="Y156" i="14"/>
  <c r="Y138" i="14"/>
  <c r="Y57" i="14"/>
  <c r="T60" i="14"/>
  <c r="Q141" i="14"/>
  <c r="V69" i="14"/>
  <c r="W60" i="14"/>
  <c r="Z69" i="14"/>
  <c r="U171" i="14"/>
  <c r="S63" i="14"/>
  <c r="Y171" i="14"/>
  <c r="R117" i="14"/>
  <c r="Z138" i="14"/>
  <c r="T105" i="14"/>
  <c r="Q126" i="14"/>
  <c r="X69" i="14"/>
  <c r="Z141" i="14"/>
  <c r="V105" i="14"/>
  <c r="R105" i="14"/>
  <c r="X60" i="14"/>
  <c r="T138" i="14"/>
  <c r="V66" i="14"/>
  <c r="R63" i="14"/>
  <c r="X141" i="14"/>
  <c r="X174" i="14"/>
  <c r="Q174" i="14"/>
  <c r="U174" i="14"/>
  <c r="Z174" i="14"/>
  <c r="W174" i="14"/>
  <c r="V174" i="14"/>
  <c r="T174" i="14"/>
  <c r="R177" i="14"/>
  <c r="U177" i="14"/>
  <c r="V177" i="14"/>
  <c r="Z177" i="14"/>
  <c r="T177" i="14"/>
  <c r="R111" i="14"/>
  <c r="U153" i="14"/>
  <c r="Y147" i="14"/>
  <c r="Y111" i="14"/>
  <c r="S174" i="14"/>
  <c r="X153" i="14"/>
  <c r="Y153" i="14"/>
  <c r="Y63" i="14"/>
  <c r="Y42" i="14"/>
  <c r="W162" i="14"/>
</calcChain>
</file>

<file path=xl/sharedStrings.xml><?xml version="1.0" encoding="utf-8"?>
<sst xmlns="http://schemas.openxmlformats.org/spreadsheetml/2006/main" count="404" uniqueCount="112">
  <si>
    <t>PROSES</t>
  </si>
  <si>
    <t>NO. DOKUMEN</t>
  </si>
  <si>
    <t xml:space="preserve">TGL BERLAKU </t>
  </si>
  <si>
    <t>UNIT PRODUKSI</t>
  </si>
  <si>
    <t>NAMA PART</t>
  </si>
  <si>
    <t>NO. PART</t>
  </si>
  <si>
    <t>TANGGAL</t>
  </si>
  <si>
    <t>CMM</t>
  </si>
  <si>
    <t>DOKUMEN REFERENSI</t>
  </si>
  <si>
    <t>REV</t>
  </si>
  <si>
    <t>NAMA DOKUMEN</t>
  </si>
  <si>
    <t>TANDA TANGAN</t>
  </si>
  <si>
    <t xml:space="preserve">: </t>
  </si>
  <si>
    <t>NAMA/NRP</t>
  </si>
  <si>
    <t>ILUSTRASI</t>
  </si>
  <si>
    <t xml:space="preserve">NO </t>
  </si>
  <si>
    <t>MAX 0.05</t>
  </si>
  <si>
    <t>:</t>
  </si>
  <si>
    <t>METODE PEMERIKSAAN</t>
  </si>
  <si>
    <t>FREKUENSI PEMERIKSAAN</t>
  </si>
  <si>
    <t>J000</t>
  </si>
  <si>
    <t>L000</t>
  </si>
  <si>
    <t>J163</t>
  </si>
  <si>
    <t>J151</t>
  </si>
  <si>
    <t>J152</t>
  </si>
  <si>
    <t>L152</t>
  </si>
  <si>
    <t>L163</t>
  </si>
  <si>
    <t>L153</t>
  </si>
  <si>
    <t>L154</t>
  </si>
  <si>
    <t>L151</t>
  </si>
  <si>
    <t>L164</t>
  </si>
  <si>
    <t>K301</t>
  </si>
  <si>
    <t>K302</t>
  </si>
  <si>
    <t>K303</t>
  </si>
  <si>
    <t>K304</t>
  </si>
  <si>
    <t>K305</t>
  </si>
  <si>
    <t>ANGLE</t>
  </si>
  <si>
    <t>L100</t>
  </si>
  <si>
    <t xml:space="preserve">PERPENDICULARITY </t>
  </si>
  <si>
    <t>DIBUAT</t>
  </si>
  <si>
    <t>DISETUJUI</t>
  </si>
  <si>
    <t>WORK STATION INSPECTION RESULT DATA</t>
  </si>
  <si>
    <t>LINE</t>
  </si>
  <si>
    <t>STASIUN</t>
  </si>
  <si>
    <t>PROSES NO.</t>
  </si>
  <si>
    <t>POINT PEMERIKSAAN</t>
  </si>
  <si>
    <t>INSPECTION TOOLS</t>
  </si>
  <si>
    <t>KRITIKAL POINT</t>
  </si>
  <si>
    <t>KRITERIA SAFETY</t>
  </si>
  <si>
    <t>HB</t>
  </si>
  <si>
    <t>I</t>
  </si>
  <si>
    <t>II</t>
  </si>
  <si>
    <t>III</t>
  </si>
  <si>
    <t>NAMA</t>
  </si>
  <si>
    <t>POSITION X</t>
  </si>
  <si>
    <t>POSITION Y</t>
  </si>
  <si>
    <t>DISTANCE DOWELL (X)</t>
  </si>
  <si>
    <t>DISTANCE DOWELL (Y)</t>
  </si>
  <si>
    <t>FLATNESS FACE CRANK CASE</t>
  </si>
  <si>
    <t>FLATNESS FACE CYL HEAD</t>
  </si>
  <si>
    <t>POSITION X THD CENTER</t>
  </si>
  <si>
    <t>POSITION X THD K301</t>
  </si>
  <si>
    <t>QCO</t>
  </si>
  <si>
    <t>01</t>
  </si>
  <si>
    <t>2</t>
  </si>
  <si>
    <t>MACHINING CYLINDER COMP K2VG</t>
  </si>
  <si>
    <t>QCL 1</t>
  </si>
  <si>
    <t>QCL 2</t>
  </si>
  <si>
    <t>QCL 3</t>
  </si>
  <si>
    <t>CYLINDER COMP (MA)</t>
  </si>
  <si>
    <t>1210A-KZR -6006-IN</t>
  </si>
  <si>
    <t>CYLINDER COMP</t>
  </si>
  <si>
    <t>TURNING, DRILLING, REAMING, MILLING, BORING, HONING</t>
  </si>
  <si>
    <t>SHIFT  :  1</t>
  </si>
  <si>
    <t>YES     /    NO</t>
  </si>
  <si>
    <t>1 / SHIFT</t>
  </si>
  <si>
    <t>STANDARD                 (mm)</t>
  </si>
  <si>
    <t>DI UKUR</t>
  </si>
  <si>
    <t>( ANGKA )</t>
  </si>
  <si>
    <t>+</t>
  </si>
  <si>
    <t>-</t>
  </si>
  <si>
    <t>DISTANCE DOWELL (X)POSITION Y</t>
  </si>
  <si>
    <t>HASIL PEMERIKSAAN &amp; PARAF PIMPINAN KERJA</t>
  </si>
  <si>
    <r>
      <t>OK</t>
    </r>
    <r>
      <rPr>
        <sz val="6"/>
        <color indexed="9"/>
        <rFont val="Arial"/>
        <family val="2"/>
      </rPr>
      <t>____      ____</t>
    </r>
    <r>
      <rPr>
        <sz val="6"/>
        <rFont val="Arial"/>
        <family val="2"/>
      </rPr>
      <t>NG</t>
    </r>
  </si>
  <si>
    <t>Keterangan</t>
  </si>
  <si>
    <t>DIPERIKSA</t>
  </si>
  <si>
    <t>PQCS CYL COMP K2V</t>
  </si>
  <si>
    <t>SITI M</t>
  </si>
  <si>
    <t>TAUFAN S</t>
  </si>
  <si>
    <t>EGIH G</t>
  </si>
  <si>
    <t>TANGGAL BERLAKU</t>
  </si>
  <si>
    <t>REVISI POIN L100</t>
  </si>
  <si>
    <t>POSITION Y THD FACE HEAD</t>
  </si>
  <si>
    <r>
      <t>1</t>
    </r>
    <r>
      <rPr>
        <vertAlign val="superscript"/>
        <sz val="9"/>
        <rFont val="Arial"/>
        <family val="2"/>
      </rPr>
      <t xml:space="preserve">0 </t>
    </r>
    <r>
      <rPr>
        <sz val="9"/>
        <rFont val="Arial"/>
        <family val="2"/>
      </rPr>
      <t>3'</t>
    </r>
  </si>
  <si>
    <t>MAX 0.03 / H</t>
  </si>
  <si>
    <t>K401</t>
  </si>
  <si>
    <t>K402</t>
  </si>
  <si>
    <t>K403</t>
  </si>
  <si>
    <t>REVISI POINT L100</t>
  </si>
  <si>
    <r>
      <t>OK</t>
    </r>
    <r>
      <rPr>
        <sz val="11"/>
        <color indexed="9"/>
        <rFont val="Arial"/>
        <family val="2"/>
      </rPr>
      <t>____      ____</t>
    </r>
    <r>
      <rPr>
        <sz val="11"/>
        <rFont val="Arial"/>
        <family val="2"/>
      </rPr>
      <t>NG</t>
    </r>
  </si>
  <si>
    <t>Siti  M</t>
  </si>
  <si>
    <t>AL</t>
  </si>
  <si>
    <t>AR</t>
  </si>
  <si>
    <t>BL</t>
  </si>
  <si>
    <t>BR</t>
  </si>
  <si>
    <t>CL</t>
  </si>
  <si>
    <t>CR</t>
  </si>
  <si>
    <t>DL</t>
  </si>
  <si>
    <t>DR</t>
  </si>
  <si>
    <t>EL</t>
  </si>
  <si>
    <t>ER</t>
  </si>
  <si>
    <t>J164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</si>
</sst>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1" formatCode="_(* #,##0.00_);_(* \(#,##0.00\);_(* &quot;-&quot;??_);_(@_)"/>
    <numFmt numFmtId="172" formatCode="&quot;$&quot;#,##0_);[Red]\(&quot;$&quot;#,##0\)"/>
    <numFmt numFmtId="173" formatCode="&quot;$&quot;#,##0.00_);[Red]\(&quot;$&quot;#,##0.00\)"/>
    <numFmt numFmtId="176" formatCode="_(* #,##0_);_(* \(#,##0\);_(* &quot;-&quot;?_);_(@_)"/>
    <numFmt numFmtId="177" formatCode="0.000"/>
    <numFmt numFmtId="179" formatCode="0.0"/>
    <numFmt numFmtId="183" formatCode="_(* #,##0_);_(* \(#,##0\);_(* &quot;-&quot;??_);_(@_)"/>
  </numFmts>
  <fonts count="34">
    <font>
      <sz val="10"/>
      <name val="Arial"/>
    </font>
    <font>
      <sz val="10"/>
      <name val="Arial"/>
    </font>
    <font>
      <b/>
      <sz val="10"/>
      <name val="Tms Rmn"/>
    </font>
    <font>
      <sz val="8"/>
      <name val="Arial"/>
      <family val="2"/>
    </font>
    <font>
      <sz val="10"/>
      <name val="MS Sans Serif"/>
      <family val="2"/>
    </font>
    <font>
      <b/>
      <i/>
      <sz val="16"/>
      <name val="Helv"/>
    </font>
    <font>
      <b/>
      <sz val="10"/>
      <color indexed="53"/>
      <name val="Courier New"/>
      <family val="3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2"/>
      <name val="Helv"/>
    </font>
    <font>
      <sz val="12"/>
      <color indexed="24"/>
      <name val="Arial"/>
      <family val="2"/>
    </font>
    <font>
      <b/>
      <sz val="12"/>
      <name val="Helv"/>
    </font>
    <font>
      <sz val="12"/>
      <name val="Arial"/>
      <family val="2"/>
    </font>
    <font>
      <sz val="10"/>
      <name val="Helv"/>
    </font>
    <font>
      <sz val="11"/>
      <name val="ＭＳ 明朝"/>
      <family val="1"/>
      <charset val="128"/>
    </font>
    <font>
      <b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6"/>
      <name val="Arial"/>
      <family val="2"/>
    </font>
    <font>
      <b/>
      <u/>
      <sz val="8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8"/>
      <name val="Symbol"/>
      <family val="1"/>
      <charset val="2"/>
    </font>
    <font>
      <sz val="6"/>
      <color indexed="9"/>
      <name val="Arial"/>
      <family val="2"/>
    </font>
    <font>
      <vertAlign val="superscript"/>
      <sz val="9"/>
      <name val="Arial"/>
      <family val="2"/>
    </font>
    <font>
      <sz val="11"/>
      <color indexed="9"/>
      <name val="Arial"/>
      <family val="2"/>
    </font>
    <font>
      <sz val="12"/>
      <name val="Symbol"/>
      <family val="1"/>
      <charset val="2"/>
    </font>
    <font>
      <u/>
      <sz val="12"/>
      <name val="Arial"/>
      <family val="2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78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double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 diagonalUp="1">
      <left style="double">
        <color indexed="64"/>
      </left>
      <right/>
      <top style="double">
        <color indexed="64"/>
      </top>
      <bottom/>
      <diagonal style="thin">
        <color indexed="64"/>
      </diagonal>
    </border>
    <border diagonalUp="1">
      <left/>
      <right/>
      <top style="double">
        <color indexed="64"/>
      </top>
      <bottom/>
      <diagonal style="thin">
        <color indexed="64"/>
      </diagonal>
    </border>
    <border diagonalUp="1">
      <left/>
      <right style="double">
        <color indexed="64"/>
      </right>
      <top style="double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double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double">
        <color indexed="64"/>
      </right>
      <top style="thin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double">
        <color indexed="64"/>
      </bottom>
      <diagonal style="thin">
        <color indexed="64"/>
      </diagonal>
    </border>
    <border diagonalUp="1">
      <left/>
      <right/>
      <top/>
      <bottom style="double">
        <color indexed="64"/>
      </bottom>
      <diagonal style="thin">
        <color indexed="64"/>
      </diagonal>
    </border>
    <border diagonalUp="1">
      <left/>
      <right style="double">
        <color indexed="64"/>
      </right>
      <top/>
      <bottom style="double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2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37" fontId="12" fillId="0" borderId="0"/>
    <xf numFmtId="3" fontId="13" fillId="0" borderId="0" applyFont="0" applyFill="0" applyBorder="0" applyAlignment="0" applyProtection="0"/>
    <xf numFmtId="0" fontId="2" fillId="0" borderId="0"/>
    <xf numFmtId="0" fontId="2" fillId="0" borderId="0"/>
    <xf numFmtId="183" fontId="11" fillId="0" borderId="0" applyFont="0" applyFill="0" applyBorder="0" applyAlignment="0" applyProtection="0"/>
    <xf numFmtId="176" fontId="1" fillId="0" borderId="0">
      <protection locked="0"/>
    </xf>
    <xf numFmtId="176" fontId="1" fillId="0" borderId="0">
      <protection locked="0"/>
    </xf>
    <xf numFmtId="38" fontId="3" fillId="2" borderId="0" applyNumberFormat="0" applyBorder="0" applyAlignment="0" applyProtection="0"/>
    <xf numFmtId="0" fontId="14" fillId="3" borderId="1"/>
    <xf numFmtId="0" fontId="7" fillId="4" borderId="2">
      <alignment vertical="center" wrapText="1"/>
    </xf>
    <xf numFmtId="176" fontId="1" fillId="0" borderId="0">
      <protection locked="0"/>
    </xf>
    <xf numFmtId="176" fontId="1" fillId="0" borderId="0">
      <protection locked="0"/>
    </xf>
    <xf numFmtId="10" fontId="3" fillId="5" borderId="3" applyNumberFormat="0" applyBorder="0" applyAlignment="0" applyProtection="0"/>
    <xf numFmtId="0" fontId="11" fillId="0" borderId="4"/>
    <xf numFmtId="0" fontId="11" fillId="0" borderId="4"/>
    <xf numFmtId="0" fontId="11" fillId="0" borderId="4"/>
    <xf numFmtId="0" fontId="11" fillId="0" borderId="4"/>
    <xf numFmtId="0" fontId="11" fillId="0" borderId="4"/>
    <xf numFmtId="38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37" fontId="5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1" fontId="15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4" fillId="0" borderId="5" applyNumberFormat="0" applyBorder="0"/>
    <xf numFmtId="10" fontId="6" fillId="0" borderId="0">
      <alignment horizontal="center"/>
    </xf>
    <xf numFmtId="3" fontId="11" fillId="0" borderId="3" applyNumberFormat="0" applyFont="0" applyFill="0" applyAlignment="0" applyProtection="0">
      <alignment vertical="center"/>
    </xf>
    <xf numFmtId="176" fontId="1" fillId="0" borderId="6">
      <protection locked="0"/>
    </xf>
    <xf numFmtId="4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0" fontId="12" fillId="0" borderId="7"/>
    <xf numFmtId="0" fontId="17" fillId="0" borderId="0"/>
  </cellStyleXfs>
  <cellXfs count="420">
    <xf numFmtId="0" fontId="0" fillId="0" borderId="0" xfId="0"/>
    <xf numFmtId="0" fontId="22" fillId="6" borderId="8" xfId="35" applyFont="1" applyFill="1" applyBorder="1" applyAlignment="1">
      <alignment horizontal="center" vertical="center"/>
    </xf>
    <xf numFmtId="0" fontId="23" fillId="7" borderId="9" xfId="35" applyFont="1" applyFill="1" applyBorder="1" applyAlignment="1">
      <alignment horizontal="left"/>
    </xf>
    <xf numFmtId="0" fontId="11" fillId="0" borderId="0" xfId="35"/>
    <xf numFmtId="0" fontId="11" fillId="6" borderId="10" xfId="35" applyFill="1" applyBorder="1"/>
    <xf numFmtId="0" fontId="11" fillId="6" borderId="8" xfId="35" applyFill="1" applyBorder="1"/>
    <xf numFmtId="0" fontId="18" fillId="0" borderId="10" xfId="35" applyFont="1" applyBorder="1" applyAlignment="1">
      <alignment horizontal="left" vertical="center"/>
    </xf>
    <xf numFmtId="0" fontId="18" fillId="0" borderId="8" xfId="35" applyFont="1" applyBorder="1" applyAlignment="1">
      <alignment horizontal="left" vertical="center"/>
    </xf>
    <xf numFmtId="0" fontId="18" fillId="8" borderId="11" xfId="35" applyFont="1" applyFill="1" applyBorder="1" applyAlignment="1">
      <alignment vertical="center"/>
    </xf>
    <xf numFmtId="0" fontId="11" fillId="7" borderId="9" xfId="35" applyFill="1" applyBorder="1"/>
    <xf numFmtId="0" fontId="11" fillId="7" borderId="0" xfId="35" applyFill="1"/>
    <xf numFmtId="0" fontId="22" fillId="6" borderId="0" xfId="35" applyFont="1" applyFill="1" applyAlignment="1">
      <alignment horizontal="center" vertical="center"/>
    </xf>
    <xf numFmtId="0" fontId="18" fillId="0" borderId="12" xfId="35" applyFont="1" applyBorder="1" applyAlignment="1">
      <alignment horizontal="left" vertical="center"/>
    </xf>
    <xf numFmtId="0" fontId="18" fillId="0" borderId="13" xfId="35" applyFont="1" applyBorder="1" applyAlignment="1">
      <alignment horizontal="left" vertical="center"/>
    </xf>
    <xf numFmtId="15" fontId="18" fillId="0" borderId="14" xfId="35" quotePrefix="1" applyNumberFormat="1" applyFont="1" applyBorder="1" applyAlignment="1">
      <alignment vertical="center"/>
    </xf>
    <xf numFmtId="0" fontId="18" fillId="7" borderId="0" xfId="35" applyFont="1" applyFill="1" applyAlignment="1">
      <alignment horizontal="center"/>
    </xf>
    <xf numFmtId="0" fontId="18" fillId="6" borderId="15" xfId="35" applyFont="1" applyFill="1" applyBorder="1" applyAlignment="1">
      <alignment horizontal="left" vertical="center"/>
    </xf>
    <xf numFmtId="49" fontId="18" fillId="6" borderId="6" xfId="35" applyNumberFormat="1" applyFont="1" applyFill="1" applyBorder="1" applyAlignment="1">
      <alignment horizontal="center" vertical="center"/>
    </xf>
    <xf numFmtId="0" fontId="19" fillId="7" borderId="16" xfId="35" applyFont="1" applyFill="1" applyBorder="1" applyAlignment="1">
      <alignment horizontal="left" vertical="center"/>
    </xf>
    <xf numFmtId="0" fontId="19" fillId="7" borderId="17" xfId="35" applyFont="1" applyFill="1" applyBorder="1" applyAlignment="1">
      <alignment horizontal="centerContinuous" vertical="center"/>
    </xf>
    <xf numFmtId="0" fontId="19" fillId="7" borderId="17" xfId="35" applyFont="1" applyFill="1" applyBorder="1" applyAlignment="1">
      <alignment horizontal="right" vertical="center"/>
    </xf>
    <xf numFmtId="0" fontId="19" fillId="7" borderId="17" xfId="35" applyFont="1" applyFill="1" applyBorder="1" applyAlignment="1">
      <alignment horizontal="left" vertical="center"/>
    </xf>
    <xf numFmtId="0" fontId="19" fillId="7" borderId="18" xfId="35" applyFont="1" applyFill="1" applyBorder="1"/>
    <xf numFmtId="0" fontId="19" fillId="7" borderId="18" xfId="35" applyFont="1" applyFill="1" applyBorder="1" applyAlignment="1">
      <alignment horizontal="center" vertical="center"/>
    </xf>
    <xf numFmtId="0" fontId="19" fillId="7" borderId="12" xfId="35" applyFont="1" applyFill="1" applyBorder="1" applyAlignment="1">
      <alignment horizontal="left" vertical="center"/>
    </xf>
    <xf numFmtId="0" fontId="19" fillId="7" borderId="13" xfId="35" applyFont="1" applyFill="1" applyBorder="1" applyAlignment="1">
      <alignment vertical="center"/>
    </xf>
    <xf numFmtId="0" fontId="19" fillId="7" borderId="13" xfId="35" applyFont="1" applyFill="1" applyBorder="1" applyAlignment="1">
      <alignment horizontal="right" vertical="center"/>
    </xf>
    <xf numFmtId="0" fontId="19" fillId="7" borderId="13" xfId="35" applyFont="1" applyFill="1" applyBorder="1" applyAlignment="1">
      <alignment horizontal="left" vertical="center"/>
    </xf>
    <xf numFmtId="0" fontId="19" fillId="7" borderId="13" xfId="35" applyFont="1" applyFill="1" applyBorder="1" applyAlignment="1">
      <alignment horizontal="left"/>
    </xf>
    <xf numFmtId="0" fontId="19" fillId="7" borderId="18" xfId="35" applyFont="1" applyFill="1" applyBorder="1" applyAlignment="1">
      <alignment vertical="center"/>
    </xf>
    <xf numFmtId="0" fontId="19" fillId="7" borderId="19" xfId="35" applyFont="1" applyFill="1" applyBorder="1" applyAlignment="1">
      <alignment vertical="center"/>
    </xf>
    <xf numFmtId="0" fontId="19" fillId="7" borderId="20" xfId="35" applyFont="1" applyFill="1" applyBorder="1" applyAlignment="1">
      <alignment vertical="center"/>
    </xf>
    <xf numFmtId="0" fontId="19" fillId="0" borderId="9" xfId="35" applyFont="1" applyBorder="1" applyAlignment="1">
      <alignment horizontal="center" vertical="center"/>
    </xf>
    <xf numFmtId="0" fontId="19" fillId="7" borderId="0" xfId="35" applyFont="1" applyFill="1"/>
    <xf numFmtId="0" fontId="19" fillId="7" borderId="9" xfId="35" applyFont="1" applyFill="1" applyBorder="1"/>
    <xf numFmtId="0" fontId="19" fillId="7" borderId="9" xfId="35" applyFont="1" applyFill="1" applyBorder="1" applyAlignment="1">
      <alignment horizontal="center" vertical="center"/>
    </xf>
    <xf numFmtId="0" fontId="19" fillId="7" borderId="12" xfId="35" applyFont="1" applyFill="1" applyBorder="1" applyAlignment="1">
      <alignment vertical="center"/>
    </xf>
    <xf numFmtId="0" fontId="19" fillId="6" borderId="13" xfId="35" applyFont="1" applyFill="1" applyBorder="1"/>
    <xf numFmtId="0" fontId="19" fillId="7" borderId="15" xfId="35" applyFont="1" applyFill="1" applyBorder="1" applyAlignment="1">
      <alignment horizontal="left" vertical="center"/>
    </xf>
    <xf numFmtId="0" fontId="19" fillId="7" borderId="6" xfId="35" applyFont="1" applyFill="1" applyBorder="1" applyAlignment="1">
      <alignment vertical="center"/>
    </xf>
    <xf numFmtId="0" fontId="19" fillId="7" borderId="6" xfId="35" applyFont="1" applyFill="1" applyBorder="1" applyAlignment="1">
      <alignment horizontal="right" vertical="center"/>
    </xf>
    <xf numFmtId="0" fontId="19" fillId="6" borderId="6" xfId="35" applyFont="1" applyFill="1" applyBorder="1"/>
    <xf numFmtId="0" fontId="19" fillId="7" borderId="6" xfId="35" applyFont="1" applyFill="1" applyBorder="1" applyAlignment="1">
      <alignment horizontal="left"/>
    </xf>
    <xf numFmtId="0" fontId="19" fillId="7" borderId="6" xfId="35" applyFont="1" applyFill="1" applyBorder="1" applyAlignment="1">
      <alignment horizontal="left" vertical="center"/>
    </xf>
    <xf numFmtId="0" fontId="19" fillId="7" borderId="6" xfId="35" applyFont="1" applyFill="1" applyBorder="1" applyAlignment="1">
      <alignment horizontal="center" vertical="center"/>
    </xf>
    <xf numFmtId="0" fontId="19" fillId="7" borderId="21" xfId="35" applyFont="1" applyFill="1" applyBorder="1" applyAlignment="1">
      <alignment horizontal="left" vertical="center"/>
    </xf>
    <xf numFmtId="0" fontId="19" fillId="7" borderId="22" xfId="35" applyFont="1" applyFill="1" applyBorder="1" applyAlignment="1">
      <alignment horizontal="left" vertical="center"/>
    </xf>
    <xf numFmtId="0" fontId="19" fillId="0" borderId="18" xfId="35" applyFont="1" applyBorder="1" applyAlignment="1">
      <alignment horizontal="center" vertical="center"/>
    </xf>
    <xf numFmtId="0" fontId="19" fillId="7" borderId="0" xfId="35" applyFont="1" applyFill="1" applyAlignment="1">
      <alignment horizontal="left"/>
    </xf>
    <xf numFmtId="0" fontId="7" fillId="7" borderId="0" xfId="35" applyFont="1" applyFill="1" applyAlignment="1">
      <alignment horizontal="left"/>
    </xf>
    <xf numFmtId="0" fontId="7" fillId="7" borderId="0" xfId="35" applyFont="1" applyFill="1"/>
    <xf numFmtId="0" fontId="11" fillId="0" borderId="8" xfId="35" applyBorder="1"/>
    <xf numFmtId="0" fontId="11" fillId="0" borderId="23" xfId="35" applyBorder="1"/>
    <xf numFmtId="0" fontId="11" fillId="0" borderId="24" xfId="35" applyBorder="1"/>
    <xf numFmtId="0" fontId="18" fillId="7" borderId="9" xfId="35" quotePrefix="1" applyFont="1" applyFill="1" applyBorder="1" applyAlignment="1">
      <alignment horizontal="left"/>
    </xf>
    <xf numFmtId="0" fontId="19" fillId="7" borderId="8" xfId="35" quotePrefix="1" applyFont="1" applyFill="1" applyBorder="1" applyAlignment="1">
      <alignment horizontal="center" vertical="center"/>
    </xf>
    <xf numFmtId="0" fontId="19" fillId="7" borderId="22" xfId="35" quotePrefix="1" applyFont="1" applyFill="1" applyBorder="1" applyAlignment="1">
      <alignment horizontal="center" vertical="center"/>
    </xf>
    <xf numFmtId="0" fontId="11" fillId="0" borderId="22" xfId="35" applyBorder="1"/>
    <xf numFmtId="0" fontId="19" fillId="7" borderId="22" xfId="35" applyFont="1" applyFill="1" applyBorder="1"/>
    <xf numFmtId="0" fontId="19" fillId="7" borderId="10" xfId="35" applyFont="1" applyFill="1" applyBorder="1" applyAlignment="1">
      <alignment horizontal="left"/>
    </xf>
    <xf numFmtId="0" fontId="19" fillId="7" borderId="9" xfId="35" applyFont="1" applyFill="1" applyBorder="1" applyAlignment="1">
      <alignment horizontal="center" vertical="center" wrapText="1"/>
    </xf>
    <xf numFmtId="0" fontId="19" fillId="7" borderId="21" xfId="35" applyFont="1" applyFill="1" applyBorder="1" applyAlignment="1">
      <alignment horizontal="center" vertical="center" wrapText="1"/>
    </xf>
    <xf numFmtId="0" fontId="19" fillId="7" borderId="25" xfId="35" applyFont="1" applyFill="1" applyBorder="1" applyAlignment="1">
      <alignment horizontal="center" vertical="center"/>
    </xf>
    <xf numFmtId="0" fontId="21" fillId="0" borderId="26" xfId="32" applyFont="1" applyBorder="1" applyAlignment="1">
      <alignment vertical="center"/>
    </xf>
    <xf numFmtId="0" fontId="21" fillId="0" borderId="27" xfId="32" applyFont="1" applyBorder="1" applyAlignment="1">
      <alignment horizontal="left" vertical="center"/>
    </xf>
    <xf numFmtId="0" fontId="21" fillId="0" borderId="0" xfId="32" applyFont="1" applyAlignment="1">
      <alignment vertical="center"/>
    </xf>
    <xf numFmtId="0" fontId="21" fillId="0" borderId="28" xfId="32" applyFont="1" applyBorder="1" applyAlignment="1">
      <alignment horizontal="left" vertical="center"/>
    </xf>
    <xf numFmtId="0" fontId="11" fillId="0" borderId="0" xfId="32"/>
    <xf numFmtId="0" fontId="21" fillId="0" borderId="10" xfId="32" applyFont="1" applyBorder="1" applyAlignment="1">
      <alignment vertical="center" textRotation="90"/>
    </xf>
    <xf numFmtId="0" fontId="21" fillId="0" borderId="8" xfId="32" applyFont="1" applyBorder="1" applyAlignment="1">
      <alignment vertical="center" wrapText="1"/>
    </xf>
    <xf numFmtId="0" fontId="21" fillId="0" borderId="8" xfId="35" applyFont="1" applyBorder="1" applyAlignment="1">
      <alignment vertical="center"/>
    </xf>
    <xf numFmtId="0" fontId="21" fillId="0" borderId="8" xfId="35" applyFont="1" applyBorder="1" applyAlignment="1">
      <alignment horizontal="right" vertical="center"/>
    </xf>
    <xf numFmtId="0" fontId="21" fillId="0" borderId="8" xfId="35" quotePrefix="1" applyFont="1" applyBorder="1" applyAlignment="1">
      <alignment horizontal="left"/>
    </xf>
    <xf numFmtId="0" fontId="3" fillId="0" borderId="8" xfId="32" applyFont="1" applyBorder="1" applyAlignment="1">
      <alignment vertical="center" wrapText="1"/>
    </xf>
    <xf numFmtId="0" fontId="26" fillId="0" borderId="8" xfId="32" applyFont="1" applyBorder="1" applyAlignment="1">
      <alignment vertical="center" wrapText="1"/>
    </xf>
    <xf numFmtId="0" fontId="21" fillId="0" borderId="9" xfId="32" applyFont="1" applyBorder="1" applyAlignment="1">
      <alignment vertical="center" textRotation="90"/>
    </xf>
    <xf numFmtId="0" fontId="21" fillId="0" borderId="0" xfId="32" applyFont="1" applyAlignment="1">
      <alignment vertical="center" wrapText="1"/>
    </xf>
    <xf numFmtId="0" fontId="21" fillId="0" borderId="0" xfId="35" applyFont="1" applyAlignment="1">
      <alignment vertical="center"/>
    </xf>
    <xf numFmtId="0" fontId="21" fillId="0" borderId="0" xfId="35" applyFont="1" applyAlignment="1">
      <alignment horizontal="right" vertical="center"/>
    </xf>
    <xf numFmtId="0" fontId="21" fillId="0" borderId="0" xfId="35" quotePrefix="1" applyFont="1" applyAlignment="1">
      <alignment horizontal="left" vertical="top"/>
    </xf>
    <xf numFmtId="0" fontId="3" fillId="0" borderId="0" xfId="32" applyFont="1" applyAlignment="1">
      <alignment vertical="center" wrapText="1"/>
    </xf>
    <xf numFmtId="0" fontId="26" fillId="0" borderId="0" xfId="32" applyFont="1" applyAlignment="1">
      <alignment vertical="center" wrapText="1"/>
    </xf>
    <xf numFmtId="2" fontId="19" fillId="0" borderId="0" xfId="32" applyNumberFormat="1" applyFont="1" applyAlignment="1">
      <alignment vertical="center"/>
    </xf>
    <xf numFmtId="0" fontId="21" fillId="0" borderId="0" xfId="35" quotePrefix="1" applyFont="1" applyAlignment="1">
      <alignment horizontal="left"/>
    </xf>
    <xf numFmtId="0" fontId="21" fillId="0" borderId="9" xfId="35" applyFont="1" applyBorder="1" applyAlignment="1">
      <alignment vertical="center" textRotation="90" wrapText="1"/>
    </xf>
    <xf numFmtId="0" fontId="21" fillId="0" borderId="21" xfId="35" applyFont="1" applyBorder="1" applyAlignment="1">
      <alignment vertical="center" textRotation="90" wrapText="1"/>
    </xf>
    <xf numFmtId="0" fontId="21" fillId="0" borderId="22" xfId="32" applyFont="1" applyBorder="1" applyAlignment="1">
      <alignment vertical="center" wrapText="1"/>
    </xf>
    <xf numFmtId="2" fontId="19" fillId="0" borderId="22" xfId="32" applyNumberFormat="1" applyFont="1" applyBorder="1" applyAlignment="1">
      <alignment vertical="center"/>
    </xf>
    <xf numFmtId="0" fontId="3" fillId="0" borderId="22" xfId="32" applyFont="1" applyBorder="1" applyAlignment="1">
      <alignment vertical="center" wrapText="1"/>
    </xf>
    <xf numFmtId="0" fontId="26" fillId="0" borderId="22" xfId="32" applyFont="1" applyBorder="1" applyAlignment="1">
      <alignment vertical="center" wrapText="1"/>
    </xf>
    <xf numFmtId="0" fontId="9" fillId="7" borderId="10" xfId="32" applyFont="1" applyFill="1" applyBorder="1" applyAlignment="1">
      <alignment vertical="center"/>
    </xf>
    <xf numFmtId="0" fontId="9" fillId="7" borderId="8" xfId="32" applyFont="1" applyFill="1" applyBorder="1" applyAlignment="1">
      <alignment vertical="center"/>
    </xf>
    <xf numFmtId="0" fontId="11" fillId="0" borderId="8" xfId="32" applyBorder="1"/>
    <xf numFmtId="0" fontId="24" fillId="7" borderId="8" xfId="35" applyFont="1" applyFill="1" applyBorder="1" applyAlignment="1">
      <alignment horizontal="left" vertical="center"/>
    </xf>
    <xf numFmtId="0" fontId="9" fillId="7" borderId="29" xfId="32" applyFont="1" applyFill="1" applyBorder="1" applyAlignment="1">
      <alignment vertical="center"/>
    </xf>
    <xf numFmtId="0" fontId="9" fillId="7" borderId="30" xfId="32" applyFont="1" applyFill="1" applyBorder="1" applyAlignment="1">
      <alignment vertical="center"/>
    </xf>
    <xf numFmtId="0" fontId="11" fillId="0" borderId="30" xfId="32" applyBorder="1"/>
    <xf numFmtId="0" fontId="24" fillId="7" borderId="30" xfId="35" applyFont="1" applyFill="1" applyBorder="1" applyAlignment="1">
      <alignment horizontal="right" vertical="center"/>
    </xf>
    <xf numFmtId="0" fontId="9" fillId="7" borderId="31" xfId="32" applyFont="1" applyFill="1" applyBorder="1" applyAlignment="1">
      <alignment vertical="center"/>
    </xf>
    <xf numFmtId="0" fontId="9" fillId="7" borderId="32" xfId="32" applyFont="1" applyFill="1" applyBorder="1" applyAlignment="1">
      <alignment vertical="center"/>
    </xf>
    <xf numFmtId="0" fontId="11" fillId="0" borderId="32" xfId="32" applyBorder="1"/>
    <xf numFmtId="0" fontId="24" fillId="7" borderId="32" xfId="35" applyFont="1" applyFill="1" applyBorder="1" applyAlignment="1">
      <alignment horizontal="left" vertical="center"/>
    </xf>
    <xf numFmtId="0" fontId="9" fillId="7" borderId="9" xfId="32" applyFont="1" applyFill="1" applyBorder="1" applyAlignment="1">
      <alignment vertical="center" wrapText="1"/>
    </xf>
    <xf numFmtId="0" fontId="9" fillId="7" borderId="0" xfId="32" applyFont="1" applyFill="1" applyAlignment="1">
      <alignment vertical="center" wrapText="1"/>
    </xf>
    <xf numFmtId="0" fontId="24" fillId="7" borderId="0" xfId="35" applyFont="1" applyFill="1" applyBorder="1" applyAlignment="1">
      <alignment horizontal="left" vertical="center"/>
    </xf>
    <xf numFmtId="0" fontId="9" fillId="7" borderId="21" xfId="32" applyFont="1" applyFill="1" applyBorder="1" applyAlignment="1">
      <alignment vertical="center" wrapText="1"/>
    </xf>
    <xf numFmtId="0" fontId="9" fillId="7" borderId="22" xfId="32" applyFont="1" applyFill="1" applyBorder="1" applyAlignment="1">
      <alignment vertical="center" wrapText="1"/>
    </xf>
    <xf numFmtId="0" fontId="11" fillId="0" borderId="22" xfId="32" applyBorder="1"/>
    <xf numFmtId="0" fontId="24" fillId="7" borderId="22" xfId="35" applyFont="1" applyFill="1" applyBorder="1" applyAlignment="1">
      <alignment horizontal="right" vertical="center"/>
    </xf>
    <xf numFmtId="0" fontId="19" fillId="7" borderId="18" xfId="32" applyFont="1" applyFill="1" applyBorder="1" applyAlignment="1">
      <alignment horizontal="center" vertical="center" wrapText="1"/>
    </xf>
    <xf numFmtId="0" fontId="11" fillId="0" borderId="19" xfId="32" applyBorder="1"/>
    <xf numFmtId="0" fontId="19" fillId="7" borderId="19" xfId="32" applyFont="1" applyFill="1" applyBorder="1" applyAlignment="1">
      <alignment horizontal="center" vertical="center" wrapText="1"/>
    </xf>
    <xf numFmtId="0" fontId="18" fillId="7" borderId="25" xfId="32" applyFont="1" applyFill="1" applyBorder="1" applyAlignment="1">
      <alignment horizontal="center" vertical="center"/>
    </xf>
    <xf numFmtId="0" fontId="19" fillId="7" borderId="16" xfId="35" applyFont="1" applyFill="1" applyBorder="1"/>
    <xf numFmtId="0" fontId="19" fillId="7" borderId="33" xfId="35" applyFont="1" applyFill="1" applyBorder="1"/>
    <xf numFmtId="0" fontId="19" fillId="7" borderId="17" xfId="35" applyFont="1" applyFill="1" applyBorder="1"/>
    <xf numFmtId="0" fontId="19" fillId="7" borderId="25" xfId="35" applyFont="1" applyFill="1" applyBorder="1"/>
    <xf numFmtId="0" fontId="19" fillId="7" borderId="34" xfId="35" applyFont="1" applyFill="1" applyBorder="1" applyAlignment="1">
      <alignment horizontal="right"/>
    </xf>
    <xf numFmtId="0" fontId="19" fillId="7" borderId="35" xfId="35" applyFont="1" applyFill="1" applyBorder="1" applyAlignment="1">
      <alignment horizontal="left"/>
    </xf>
    <xf numFmtId="0" fontId="19" fillId="7" borderId="36" xfId="35" applyFont="1" applyFill="1" applyBorder="1" applyAlignment="1">
      <alignment horizontal="center"/>
    </xf>
    <xf numFmtId="0" fontId="11" fillId="0" borderId="13" xfId="35" applyBorder="1"/>
    <xf numFmtId="0" fontId="33" fillId="7" borderId="34" xfId="35" applyFont="1" applyFill="1" applyBorder="1" applyAlignment="1">
      <alignment horizontal="center" vertical="center"/>
    </xf>
    <xf numFmtId="0" fontId="19" fillId="7" borderId="35" xfId="35" applyFont="1" applyFill="1" applyBorder="1" applyAlignment="1">
      <alignment horizontal="center"/>
    </xf>
    <xf numFmtId="0" fontId="3" fillId="7" borderId="36" xfId="35" applyFont="1" applyFill="1" applyBorder="1" applyAlignment="1">
      <alignment horizontal="left"/>
    </xf>
    <xf numFmtId="14" fontId="19" fillId="7" borderId="22" xfId="35" quotePrefix="1" applyNumberFormat="1" applyFont="1" applyFill="1" applyBorder="1" applyAlignment="1">
      <alignment horizontal="left" vertical="center"/>
    </xf>
    <xf numFmtId="0" fontId="19" fillId="7" borderId="37" xfId="35" applyFont="1" applyFill="1" applyBorder="1" applyAlignment="1">
      <alignment horizontal="right" vertical="center"/>
    </xf>
    <xf numFmtId="0" fontId="19" fillId="7" borderId="38" xfId="35" applyFont="1" applyFill="1" applyBorder="1" applyAlignment="1">
      <alignment horizontal="center" vertical="center"/>
    </xf>
    <xf numFmtId="0" fontId="18" fillId="7" borderId="39" xfId="35" applyFont="1" applyFill="1" applyBorder="1" applyAlignment="1">
      <alignment horizontal="centerContinuous" vertical="center"/>
    </xf>
    <xf numFmtId="0" fontId="18" fillId="0" borderId="40" xfId="35" applyFont="1" applyBorder="1" applyAlignment="1">
      <alignment horizontal="centerContinuous" vertical="center"/>
    </xf>
    <xf numFmtId="0" fontId="3" fillId="0" borderId="41" xfId="35" applyFont="1" applyBorder="1"/>
    <xf numFmtId="0" fontId="11" fillId="0" borderId="6" xfId="35" applyBorder="1"/>
    <xf numFmtId="0" fontId="7" fillId="0" borderId="0" xfId="35" applyFont="1"/>
    <xf numFmtId="0" fontId="19" fillId="7" borderId="8" xfId="35" applyFont="1" applyFill="1" applyBorder="1" applyAlignment="1">
      <alignment vertical="center"/>
    </xf>
    <xf numFmtId="0" fontId="19" fillId="7" borderId="22" xfId="35" applyFont="1" applyFill="1" applyBorder="1" applyAlignment="1">
      <alignment vertical="center"/>
    </xf>
    <xf numFmtId="0" fontId="3" fillId="6" borderId="22" xfId="32" applyFont="1" applyFill="1" applyBorder="1" applyAlignment="1">
      <alignment horizontal="left"/>
    </xf>
    <xf numFmtId="0" fontId="3" fillId="6" borderId="22" xfId="32" applyFont="1" applyFill="1" applyBorder="1" applyAlignment="1">
      <alignment horizontal="center"/>
    </xf>
    <xf numFmtId="0" fontId="24" fillId="7" borderId="23" xfId="35" applyFont="1" applyFill="1" applyBorder="1" applyAlignment="1">
      <alignment horizontal="left" vertical="center"/>
    </xf>
    <xf numFmtId="0" fontId="24" fillId="7" borderId="42" xfId="35" applyFont="1" applyFill="1" applyBorder="1" applyAlignment="1">
      <alignment horizontal="right" vertical="center"/>
    </xf>
    <xf numFmtId="0" fontId="24" fillId="7" borderId="43" xfId="35" applyFont="1" applyFill="1" applyBorder="1" applyAlignment="1">
      <alignment horizontal="left" vertical="center"/>
    </xf>
    <xf numFmtId="0" fontId="24" fillId="7" borderId="24" xfId="35" applyFont="1" applyFill="1" applyBorder="1" applyAlignment="1">
      <alignment horizontal="left" vertical="center"/>
    </xf>
    <xf numFmtId="0" fontId="24" fillId="7" borderId="44" xfId="35" applyFont="1" applyFill="1" applyBorder="1" applyAlignment="1">
      <alignment horizontal="right" vertical="center"/>
    </xf>
    <xf numFmtId="0" fontId="19" fillId="7" borderId="13" xfId="35" applyFont="1" applyFill="1" applyBorder="1" applyAlignment="1">
      <alignment horizontal="center"/>
    </xf>
    <xf numFmtId="0" fontId="19" fillId="0" borderId="13" xfId="35" applyFont="1" applyBorder="1"/>
    <xf numFmtId="0" fontId="18" fillId="0" borderId="41" xfId="35" applyFont="1" applyBorder="1"/>
    <xf numFmtId="0" fontId="3" fillId="0" borderId="6" xfId="35" applyFont="1" applyBorder="1"/>
    <xf numFmtId="0" fontId="18" fillId="0" borderId="6" xfId="35" applyFont="1" applyBorder="1" applyAlignment="1">
      <alignment horizontal="left"/>
    </xf>
    <xf numFmtId="0" fontId="11" fillId="0" borderId="0" xfId="35" applyBorder="1"/>
    <xf numFmtId="49" fontId="18" fillId="0" borderId="45" xfId="35" applyNumberFormat="1" applyFont="1" applyBorder="1" applyAlignment="1">
      <alignment horizontal="center" vertical="center"/>
    </xf>
    <xf numFmtId="0" fontId="19" fillId="7" borderId="46" xfId="35" applyFont="1" applyFill="1" applyBorder="1"/>
    <xf numFmtId="0" fontId="19" fillId="7" borderId="0" xfId="35" applyFont="1" applyFill="1" applyBorder="1"/>
    <xf numFmtId="0" fontId="19" fillId="7" borderId="0" xfId="35" applyFont="1" applyFill="1" applyBorder="1" applyAlignment="1">
      <alignment vertical="center"/>
    </xf>
    <xf numFmtId="0" fontId="3" fillId="6" borderId="0" xfId="32" applyFont="1" applyFill="1" applyBorder="1"/>
    <xf numFmtId="0" fontId="3" fillId="0" borderId="0" xfId="35" applyFont="1" applyBorder="1"/>
    <xf numFmtId="0" fontId="19" fillId="0" borderId="47" xfId="35" applyFont="1" applyBorder="1" applyAlignment="1">
      <alignment horizontal="center" vertical="center"/>
    </xf>
    <xf numFmtId="0" fontId="3" fillId="0" borderId="48" xfId="35" applyFont="1" applyBorder="1"/>
    <xf numFmtId="0" fontId="18" fillId="0" borderId="48" xfId="35" applyFont="1" applyBorder="1" applyAlignment="1">
      <alignment horizontal="left"/>
    </xf>
    <xf numFmtId="0" fontId="10" fillId="7" borderId="8" xfId="32" applyFont="1" applyFill="1" applyBorder="1" applyAlignment="1">
      <alignment vertical="top"/>
    </xf>
    <xf numFmtId="0" fontId="10" fillId="7" borderId="0" xfId="32" applyFont="1" applyFill="1" applyBorder="1" applyAlignment="1">
      <alignment vertical="top"/>
    </xf>
    <xf numFmtId="0" fontId="10" fillId="7" borderId="22" xfId="32" applyFont="1" applyFill="1" applyBorder="1" applyAlignment="1">
      <alignment vertical="top"/>
    </xf>
    <xf numFmtId="0" fontId="24" fillId="7" borderId="49" xfId="35" applyFont="1" applyFill="1" applyBorder="1" applyAlignment="1">
      <alignment horizontal="left" vertical="center"/>
    </xf>
    <xf numFmtId="0" fontId="24" fillId="7" borderId="46" xfId="35" applyFont="1" applyFill="1" applyBorder="1" applyAlignment="1">
      <alignment horizontal="right" vertical="center"/>
    </xf>
    <xf numFmtId="0" fontId="24" fillId="7" borderId="46" xfId="35" applyFont="1" applyFill="1" applyBorder="1" applyAlignment="1">
      <alignment horizontal="left" vertical="center"/>
    </xf>
    <xf numFmtId="0" fontId="24" fillId="7" borderId="50" xfId="35" applyFont="1" applyFill="1" applyBorder="1" applyAlignment="1">
      <alignment horizontal="right" vertical="center"/>
    </xf>
    <xf numFmtId="0" fontId="10" fillId="7" borderId="10" xfId="32" applyFont="1" applyFill="1" applyBorder="1" applyAlignment="1">
      <alignment vertical="top"/>
    </xf>
    <xf numFmtId="0" fontId="10" fillId="7" borderId="9" xfId="32" applyFont="1" applyFill="1" applyBorder="1" applyAlignment="1">
      <alignment vertical="top"/>
    </xf>
    <xf numFmtId="0" fontId="10" fillId="7" borderId="21" xfId="32" applyFont="1" applyFill="1" applyBorder="1" applyAlignment="1">
      <alignment vertical="top"/>
    </xf>
    <xf numFmtId="0" fontId="19" fillId="7" borderId="51" xfId="35" quotePrefix="1" applyFont="1" applyFill="1" applyBorder="1"/>
    <xf numFmtId="0" fontId="19" fillId="7" borderId="51" xfId="35" applyFont="1" applyFill="1" applyBorder="1" applyAlignment="1">
      <alignment vertical="center"/>
    </xf>
    <xf numFmtId="15" fontId="19" fillId="7" borderId="52" xfId="35" quotePrefix="1" applyNumberFormat="1" applyFont="1" applyFill="1" applyBorder="1" applyAlignment="1">
      <alignment horizontal="center" vertical="center"/>
    </xf>
    <xf numFmtId="22" fontId="19" fillId="7" borderId="6" xfId="35" applyNumberFormat="1" applyFont="1" applyFill="1" applyBorder="1" applyAlignment="1">
      <alignment vertical="center"/>
    </xf>
    <xf numFmtId="0" fontId="11" fillId="0" borderId="44" xfId="35" applyBorder="1"/>
    <xf numFmtId="0" fontId="21" fillId="9" borderId="26" xfId="32" applyFont="1" applyFill="1" applyBorder="1" applyAlignment="1">
      <alignment vertical="center"/>
    </xf>
    <xf numFmtId="0" fontId="21" fillId="9" borderId="27" xfId="32" applyFont="1" applyFill="1" applyBorder="1" applyAlignment="1">
      <alignment horizontal="left" vertical="center"/>
    </xf>
    <xf numFmtId="0" fontId="21" fillId="9" borderId="0" xfId="32" applyFont="1" applyFill="1" applyAlignment="1">
      <alignment vertical="center"/>
    </xf>
    <xf numFmtId="0" fontId="21" fillId="9" borderId="28" xfId="32" applyFont="1" applyFill="1" applyBorder="1" applyAlignment="1">
      <alignment horizontal="left" vertical="center"/>
    </xf>
    <xf numFmtId="0" fontId="19" fillId="7" borderId="30" xfId="35" applyFont="1" applyFill="1" applyBorder="1" applyAlignment="1">
      <alignment horizontal="center" vertical="center"/>
    </xf>
    <xf numFmtId="0" fontId="11" fillId="0" borderId="53" xfId="35" applyBorder="1" applyAlignment="1">
      <alignment horizontal="center"/>
    </xf>
    <xf numFmtId="0" fontId="11" fillId="0" borderId="46" xfId="35" applyBorder="1" applyAlignment="1">
      <alignment horizontal="center"/>
    </xf>
    <xf numFmtId="0" fontId="11" fillId="0" borderId="54" xfId="35" applyBorder="1" applyAlignment="1">
      <alignment horizontal="center"/>
    </xf>
    <xf numFmtId="0" fontId="3" fillId="7" borderId="0" xfId="35" applyFont="1" applyFill="1" applyBorder="1" applyAlignment="1">
      <alignment horizontal="center"/>
    </xf>
    <xf numFmtId="0" fontId="27" fillId="0" borderId="0" xfId="32" applyFont="1" applyBorder="1" applyAlignment="1">
      <alignment horizontal="center" vertical="center"/>
    </xf>
    <xf numFmtId="0" fontId="18" fillId="6" borderId="0" xfId="32" applyFont="1" applyFill="1" applyBorder="1" applyAlignment="1">
      <alignment horizontal="center" vertical="center"/>
    </xf>
    <xf numFmtId="0" fontId="3" fillId="7" borderId="22" xfId="35" applyFont="1" applyFill="1" applyBorder="1" applyAlignment="1">
      <alignment horizontal="center"/>
    </xf>
    <xf numFmtId="0" fontId="19" fillId="7" borderId="30" xfId="35" applyFont="1" applyFill="1" applyBorder="1"/>
    <xf numFmtId="0" fontId="19" fillId="0" borderId="55" xfId="35" applyFont="1" applyBorder="1" applyAlignment="1">
      <alignment horizontal="center" vertical="center"/>
    </xf>
    <xf numFmtId="0" fontId="11" fillId="0" borderId="11" xfId="35" applyBorder="1"/>
    <xf numFmtId="0" fontId="11" fillId="0" borderId="14" xfId="35" applyBorder="1"/>
    <xf numFmtId="179" fontId="26" fillId="7" borderId="25" xfId="35" applyNumberFormat="1" applyFont="1" applyFill="1" applyBorder="1" applyAlignment="1">
      <alignment horizontal="center" vertical="center"/>
    </xf>
    <xf numFmtId="179" fontId="26" fillId="7" borderId="25" xfId="35" applyNumberFormat="1" applyFont="1" applyFill="1" applyBorder="1" applyAlignment="1">
      <alignment vertical="center"/>
    </xf>
    <xf numFmtId="179" fontId="26" fillId="0" borderId="25" xfId="35" applyNumberFormat="1" applyFont="1" applyBorder="1"/>
    <xf numFmtId="179" fontId="26" fillId="7" borderId="25" xfId="35" applyNumberFormat="1" applyFont="1" applyFill="1" applyBorder="1" applyAlignment="1">
      <alignment horizontal="center"/>
    </xf>
    <xf numFmtId="179" fontId="26" fillId="6" borderId="25" xfId="32" applyNumberFormat="1" applyFont="1" applyFill="1" applyBorder="1"/>
    <xf numFmtId="179" fontId="31" fillId="0" borderId="25" xfId="32" applyNumberFormat="1" applyFont="1" applyBorder="1" applyAlignment="1">
      <alignment horizontal="center" vertical="center"/>
    </xf>
    <xf numFmtId="179" fontId="26" fillId="6" borderId="25" xfId="32" applyNumberFormat="1" applyFont="1" applyFill="1" applyBorder="1" applyAlignment="1">
      <alignment horizontal="center" vertical="center"/>
    </xf>
    <xf numFmtId="179" fontId="26" fillId="6" borderId="25" xfId="32" applyNumberFormat="1" applyFont="1" applyFill="1" applyBorder="1" applyAlignment="1">
      <alignment horizontal="left"/>
    </xf>
    <xf numFmtId="179" fontId="26" fillId="6" borderId="25" xfId="32" applyNumberFormat="1" applyFont="1" applyFill="1" applyBorder="1" applyAlignment="1">
      <alignment horizontal="center"/>
    </xf>
    <xf numFmtId="179" fontId="26" fillId="7" borderId="25" xfId="35" applyNumberFormat="1" applyFont="1" applyFill="1" applyBorder="1" applyAlignment="1">
      <alignment horizontal="left" vertical="center"/>
    </xf>
    <xf numFmtId="179" fontId="26" fillId="7" borderId="25" xfId="35" applyNumberFormat="1" applyFont="1" applyFill="1" applyBorder="1" applyAlignment="1">
      <alignment horizontal="right" vertical="center"/>
    </xf>
    <xf numFmtId="179" fontId="26" fillId="7" borderId="25" xfId="32" applyNumberFormat="1" applyFont="1" applyFill="1" applyBorder="1" applyAlignment="1">
      <alignment horizontal="center" vertical="center"/>
    </xf>
    <xf numFmtId="179" fontId="26" fillId="7" borderId="25" xfId="35" applyNumberFormat="1" applyFont="1" applyFill="1" applyBorder="1"/>
    <xf numFmtId="179" fontId="26" fillId="7" borderId="25" xfId="35" quotePrefix="1" applyNumberFormat="1" applyFont="1" applyFill="1" applyBorder="1"/>
    <xf numFmtId="179" fontId="26" fillId="0" borderId="25" xfId="35" applyNumberFormat="1" applyFont="1" applyBorder="1" applyAlignment="1">
      <alignment horizontal="center" vertical="center"/>
    </xf>
    <xf numFmtId="179" fontId="26" fillId="0" borderId="25" xfId="35" applyNumberFormat="1" applyFont="1" applyBorder="1" applyAlignment="1">
      <alignment horizontal="left"/>
    </xf>
    <xf numFmtId="179" fontId="26" fillId="7" borderId="25" xfId="35" quotePrefix="1" applyNumberFormat="1" applyFont="1" applyFill="1" applyBorder="1" applyAlignment="1">
      <alignment horizontal="center" vertical="center"/>
    </xf>
    <xf numFmtId="179" fontId="26" fillId="7" borderId="25" xfId="35" applyNumberFormat="1" applyFont="1" applyFill="1" applyBorder="1" applyAlignment="1">
      <alignment horizontal="right"/>
    </xf>
    <xf numFmtId="0" fontId="11" fillId="0" borderId="0" xfId="35" applyAlignment="1">
      <alignment horizontal="center" vertical="center"/>
    </xf>
    <xf numFmtId="0" fontId="11" fillId="0" borderId="46" xfId="35" applyBorder="1"/>
    <xf numFmtId="0" fontId="19" fillId="7" borderId="46" xfId="35" quotePrefix="1" applyFont="1" applyFill="1" applyBorder="1"/>
    <xf numFmtId="0" fontId="18" fillId="7" borderId="48" xfId="35" applyFont="1" applyFill="1" applyBorder="1" applyAlignment="1">
      <alignment horizontal="right"/>
    </xf>
    <xf numFmtId="0" fontId="11" fillId="0" borderId="0" xfId="35" applyBorder="1" applyAlignment="1">
      <alignment horizontal="center" vertical="center"/>
    </xf>
    <xf numFmtId="0" fontId="7" fillId="0" borderId="49" xfId="35" applyFont="1" applyBorder="1" applyAlignment="1">
      <alignment horizontal="center" vertical="center"/>
    </xf>
    <xf numFmtId="0" fontId="7" fillId="0" borderId="54" xfId="35" applyFont="1" applyBorder="1" applyAlignment="1">
      <alignment horizontal="center" vertical="center"/>
    </xf>
    <xf numFmtId="0" fontId="11" fillId="0" borderId="0" xfId="35" applyBorder="1" applyAlignment="1">
      <alignment horizontal="center" vertical="center"/>
    </xf>
    <xf numFmtId="0" fontId="20" fillId="0" borderId="49" xfId="35" applyFont="1" applyBorder="1" applyAlignment="1">
      <alignment horizontal="center" vertical="center"/>
    </xf>
    <xf numFmtId="0" fontId="20" fillId="0" borderId="50" xfId="35" applyFont="1" applyBorder="1" applyAlignment="1">
      <alignment horizontal="center" vertical="center"/>
    </xf>
    <xf numFmtId="2" fontId="26" fillId="9" borderId="56" xfId="35" applyNumberFormat="1" applyFont="1" applyFill="1" applyBorder="1" applyAlignment="1">
      <alignment horizontal="center" vertical="center"/>
    </xf>
    <xf numFmtId="0" fontId="26" fillId="9" borderId="57" xfId="35" applyFont="1" applyFill="1" applyBorder="1" applyAlignment="1">
      <alignment horizontal="center" vertical="center"/>
    </xf>
    <xf numFmtId="0" fontId="26" fillId="9" borderId="58" xfId="35" applyFont="1" applyFill="1" applyBorder="1" applyAlignment="1">
      <alignment horizontal="center" vertical="center"/>
    </xf>
    <xf numFmtId="0" fontId="11" fillId="0" borderId="0" xfId="35" applyBorder="1" applyAlignment="1">
      <alignment horizontal="center"/>
    </xf>
    <xf numFmtId="0" fontId="25" fillId="6" borderId="10" xfId="35" applyFont="1" applyFill="1" applyBorder="1" applyAlignment="1">
      <alignment horizontal="center" vertical="center" wrapText="1"/>
    </xf>
    <xf numFmtId="0" fontId="25" fillId="6" borderId="8" xfId="35" applyFont="1" applyFill="1" applyBorder="1" applyAlignment="1">
      <alignment horizontal="center" vertical="center" wrapText="1"/>
    </xf>
    <xf numFmtId="0" fontId="25" fillId="6" borderId="23" xfId="35" applyFont="1" applyFill="1" applyBorder="1" applyAlignment="1">
      <alignment horizontal="center" vertical="center" wrapText="1"/>
    </xf>
    <xf numFmtId="0" fontId="25" fillId="6" borderId="9" xfId="35" applyFont="1" applyFill="1" applyBorder="1" applyAlignment="1">
      <alignment horizontal="center" vertical="center" wrapText="1"/>
    </xf>
    <xf numFmtId="0" fontId="25" fillId="6" borderId="0" xfId="35" applyFont="1" applyFill="1" applyBorder="1" applyAlignment="1">
      <alignment horizontal="center" vertical="center" wrapText="1"/>
    </xf>
    <xf numFmtId="0" fontId="25" fillId="6" borderId="24" xfId="35" applyFont="1" applyFill="1" applyBorder="1" applyAlignment="1">
      <alignment horizontal="center" vertical="center" wrapText="1"/>
    </xf>
    <xf numFmtId="0" fontId="25" fillId="6" borderId="21" xfId="35" applyFont="1" applyFill="1" applyBorder="1" applyAlignment="1">
      <alignment horizontal="center" vertical="center" wrapText="1"/>
    </xf>
    <xf numFmtId="0" fontId="25" fillId="6" borderId="22" xfId="35" applyFont="1" applyFill="1" applyBorder="1" applyAlignment="1">
      <alignment horizontal="center" vertical="center" wrapText="1"/>
    </xf>
    <xf numFmtId="0" fontId="25" fillId="6" borderId="44" xfId="35" applyFont="1" applyFill="1" applyBorder="1" applyAlignment="1">
      <alignment horizontal="center" vertical="center" wrapText="1"/>
    </xf>
    <xf numFmtId="0" fontId="19" fillId="0" borderId="10" xfId="35" applyFont="1" applyBorder="1" applyAlignment="1">
      <alignment horizontal="center" vertical="center" wrapText="1"/>
    </xf>
    <xf numFmtId="0" fontId="19" fillId="0" borderId="9" xfId="35" applyFont="1" applyBorder="1" applyAlignment="1">
      <alignment horizontal="center" vertical="center" wrapText="1"/>
    </xf>
    <xf numFmtId="0" fontId="19" fillId="0" borderId="21" xfId="35" applyFont="1" applyBorder="1" applyAlignment="1">
      <alignment horizontal="center" vertical="center" wrapText="1"/>
    </xf>
    <xf numFmtId="0" fontId="19" fillId="7" borderId="10" xfId="35" applyFont="1" applyFill="1" applyBorder="1" applyAlignment="1">
      <alignment horizontal="center" vertical="center"/>
    </xf>
    <xf numFmtId="0" fontId="19" fillId="7" borderId="23" xfId="35" applyFont="1" applyFill="1" applyBorder="1" applyAlignment="1">
      <alignment horizontal="center" vertical="center"/>
    </xf>
    <xf numFmtId="0" fontId="19" fillId="7" borderId="21" xfId="35" applyFont="1" applyFill="1" applyBorder="1" applyAlignment="1">
      <alignment horizontal="center" vertical="center"/>
    </xf>
    <xf numFmtId="0" fontId="19" fillId="7" borderId="44" xfId="35" applyFont="1" applyFill="1" applyBorder="1" applyAlignment="1">
      <alignment horizontal="center" vertical="center"/>
    </xf>
    <xf numFmtId="0" fontId="19" fillId="0" borderId="23" xfId="35" applyFont="1" applyBorder="1" applyAlignment="1">
      <alignment horizontal="center" vertical="center" wrapText="1"/>
    </xf>
    <xf numFmtId="0" fontId="19" fillId="0" borderId="24" xfId="35" applyFont="1" applyBorder="1" applyAlignment="1">
      <alignment horizontal="center" vertical="center" wrapText="1"/>
    </xf>
    <xf numFmtId="0" fontId="19" fillId="0" borderId="44" xfId="35" applyFont="1" applyBorder="1" applyAlignment="1">
      <alignment horizontal="center" vertical="center" wrapText="1"/>
    </xf>
    <xf numFmtId="22" fontId="19" fillId="7" borderId="6" xfId="35" applyNumberFormat="1" applyFont="1" applyFill="1" applyBorder="1" applyAlignment="1">
      <alignment horizontal="center" vertical="center"/>
    </xf>
    <xf numFmtId="22" fontId="19" fillId="7" borderId="76" xfId="35" applyNumberFormat="1" applyFont="1" applyFill="1" applyBorder="1" applyAlignment="1">
      <alignment horizontal="center" vertical="center"/>
    </xf>
    <xf numFmtId="2" fontId="21" fillId="9" borderId="21" xfId="32" applyNumberFormat="1" applyFont="1" applyFill="1" applyBorder="1" applyAlignment="1">
      <alignment horizontal="center" vertical="center"/>
    </xf>
    <xf numFmtId="2" fontId="21" fillId="9" borderId="22" xfId="32" applyNumberFormat="1" applyFont="1" applyFill="1" applyBorder="1" applyAlignment="1">
      <alignment horizontal="center" vertical="center"/>
    </xf>
    <xf numFmtId="2" fontId="21" fillId="9" borderId="44" xfId="32" applyNumberFormat="1" applyFont="1" applyFill="1" applyBorder="1" applyAlignment="1">
      <alignment horizontal="center" vertical="center"/>
    </xf>
    <xf numFmtId="15" fontId="19" fillId="7" borderId="41" xfId="35" quotePrefix="1" applyNumberFormat="1" applyFont="1" applyFill="1" applyBorder="1" applyAlignment="1">
      <alignment horizontal="center" vertical="center"/>
    </xf>
    <xf numFmtId="15" fontId="19" fillId="7" borderId="6" xfId="35" applyNumberFormat="1" applyFont="1" applyFill="1" applyBorder="1" applyAlignment="1">
      <alignment horizontal="center" vertical="center"/>
    </xf>
    <xf numFmtId="15" fontId="19" fillId="7" borderId="75" xfId="35" applyNumberFormat="1" applyFont="1" applyFill="1" applyBorder="1" applyAlignment="1">
      <alignment horizontal="center" vertical="center"/>
    </xf>
    <xf numFmtId="49" fontId="19" fillId="7" borderId="41" xfId="35" quotePrefix="1" applyNumberFormat="1" applyFont="1" applyFill="1" applyBorder="1" applyAlignment="1">
      <alignment horizontal="center" vertical="center"/>
    </xf>
    <xf numFmtId="49" fontId="19" fillId="7" borderId="76" xfId="35" quotePrefix="1" applyNumberFormat="1" applyFont="1" applyFill="1" applyBorder="1" applyAlignment="1">
      <alignment horizontal="center" vertical="center"/>
    </xf>
    <xf numFmtId="0" fontId="7" fillId="0" borderId="8" xfId="35" applyFont="1" applyBorder="1" applyAlignment="1">
      <alignment horizontal="center"/>
    </xf>
    <xf numFmtId="0" fontId="19" fillId="7" borderId="16" xfId="35" applyFont="1" applyFill="1" applyBorder="1" applyAlignment="1">
      <alignment horizontal="center" vertical="center"/>
    </xf>
    <xf numFmtId="0" fontId="19" fillId="7" borderId="17" xfId="35" applyFont="1" applyFill="1" applyBorder="1" applyAlignment="1">
      <alignment horizontal="center" vertical="center"/>
    </xf>
    <xf numFmtId="0" fontId="19" fillId="7" borderId="11" xfId="35" applyFont="1" applyFill="1" applyBorder="1" applyAlignment="1">
      <alignment horizontal="center" vertical="center"/>
    </xf>
    <xf numFmtId="0" fontId="19" fillId="7" borderId="31" xfId="35" applyFont="1" applyFill="1" applyBorder="1" applyAlignment="1">
      <alignment horizontal="center" vertical="center"/>
    </xf>
    <xf numFmtId="0" fontId="19" fillId="7" borderId="32" xfId="35" applyFont="1" applyFill="1" applyBorder="1" applyAlignment="1">
      <alignment horizontal="center" vertical="center"/>
    </xf>
    <xf numFmtId="0" fontId="19" fillId="7" borderId="71" xfId="35" applyFont="1" applyFill="1" applyBorder="1" applyAlignment="1">
      <alignment horizontal="center" vertical="center"/>
    </xf>
    <xf numFmtId="0" fontId="19" fillId="7" borderId="29" xfId="35" applyFont="1" applyFill="1" applyBorder="1" applyAlignment="1">
      <alignment horizontal="center" vertical="center"/>
    </xf>
    <xf numFmtId="0" fontId="19" fillId="7" borderId="30" xfId="35" applyFont="1" applyFill="1" applyBorder="1" applyAlignment="1">
      <alignment horizontal="center" vertical="center"/>
    </xf>
    <xf numFmtId="0" fontId="19" fillId="7" borderId="72" xfId="35" applyFont="1" applyFill="1" applyBorder="1" applyAlignment="1">
      <alignment horizontal="center" vertical="center"/>
    </xf>
    <xf numFmtId="0" fontId="19" fillId="7" borderId="73" xfId="35" applyFont="1" applyFill="1" applyBorder="1" applyAlignment="1">
      <alignment horizontal="center" vertical="center"/>
    </xf>
    <xf numFmtId="0" fontId="19" fillId="7" borderId="43" xfId="35" applyFont="1" applyFill="1" applyBorder="1" applyAlignment="1">
      <alignment horizontal="center" vertical="center"/>
    </xf>
    <xf numFmtId="0" fontId="19" fillId="7" borderId="74" xfId="35" applyFont="1" applyFill="1" applyBorder="1" applyAlignment="1">
      <alignment horizontal="center" vertical="center"/>
    </xf>
    <xf numFmtId="0" fontId="19" fillId="7" borderId="42" xfId="35" applyFont="1" applyFill="1" applyBorder="1" applyAlignment="1">
      <alignment horizontal="center" vertical="center"/>
    </xf>
    <xf numFmtId="0" fontId="19" fillId="7" borderId="53" xfId="32" applyFont="1" applyFill="1" applyBorder="1" applyAlignment="1">
      <alignment horizontal="center" vertical="center"/>
    </xf>
    <xf numFmtId="0" fontId="19" fillId="7" borderId="54" xfId="32" applyFont="1" applyFill="1" applyBorder="1" applyAlignment="1">
      <alignment horizontal="center" vertical="center"/>
    </xf>
    <xf numFmtId="0" fontId="8" fillId="7" borderId="65" xfId="35" applyFont="1" applyFill="1" applyBorder="1" applyAlignment="1">
      <alignment horizontal="center" vertical="center" wrapText="1"/>
    </xf>
    <xf numFmtId="0" fontId="8" fillId="7" borderId="66" xfId="35" applyFont="1" applyFill="1" applyBorder="1" applyAlignment="1">
      <alignment horizontal="center" vertical="center" wrapText="1"/>
    </xf>
    <xf numFmtId="0" fontId="8" fillId="7" borderId="67" xfId="35" applyFont="1" applyFill="1" applyBorder="1" applyAlignment="1">
      <alignment horizontal="center" vertical="center" wrapText="1"/>
    </xf>
    <xf numFmtId="0" fontId="8" fillId="7" borderId="62" xfId="35" applyFont="1" applyFill="1" applyBorder="1" applyAlignment="1">
      <alignment horizontal="center" vertical="center" wrapText="1"/>
    </xf>
    <xf numFmtId="0" fontId="8" fillId="7" borderId="63" xfId="35" applyFont="1" applyFill="1" applyBorder="1" applyAlignment="1">
      <alignment horizontal="center" vertical="center" wrapText="1"/>
    </xf>
    <xf numFmtId="0" fontId="8" fillId="7" borderId="64" xfId="35" applyFont="1" applyFill="1" applyBorder="1" applyAlignment="1">
      <alignment horizontal="center" vertical="center" wrapText="1"/>
    </xf>
    <xf numFmtId="0" fontId="19" fillId="7" borderId="50" xfId="32" applyFont="1" applyFill="1" applyBorder="1" applyAlignment="1">
      <alignment horizontal="center" vertical="center"/>
    </xf>
    <xf numFmtId="0" fontId="8" fillId="7" borderId="68" xfId="35" applyFont="1" applyFill="1" applyBorder="1" applyAlignment="1">
      <alignment horizontal="center" vertical="center" wrapText="1"/>
    </xf>
    <xf numFmtId="0" fontId="8" fillId="7" borderId="69" xfId="35" applyFont="1" applyFill="1" applyBorder="1" applyAlignment="1">
      <alignment horizontal="center" vertical="center" wrapText="1"/>
    </xf>
    <xf numFmtId="0" fontId="8" fillId="7" borderId="70" xfId="35" applyFont="1" applyFill="1" applyBorder="1" applyAlignment="1">
      <alignment horizontal="center" vertical="center" wrapText="1"/>
    </xf>
    <xf numFmtId="0" fontId="3" fillId="7" borderId="53" xfId="35" applyFont="1" applyFill="1" applyBorder="1" applyAlignment="1">
      <alignment horizontal="center"/>
    </xf>
    <xf numFmtId="0" fontId="3" fillId="7" borderId="46" xfId="35" applyFont="1" applyFill="1" applyBorder="1" applyAlignment="1">
      <alignment horizontal="center"/>
    </xf>
    <xf numFmtId="0" fontId="3" fillId="7" borderId="54" xfId="35" applyFont="1" applyFill="1" applyBorder="1" applyAlignment="1">
      <alignment horizontal="center"/>
    </xf>
    <xf numFmtId="0" fontId="18" fillId="7" borderId="10" xfId="32" applyFont="1" applyFill="1" applyBorder="1" applyAlignment="1">
      <alignment horizontal="center" vertical="center" wrapText="1"/>
    </xf>
    <xf numFmtId="0" fontId="18" fillId="7" borderId="8" xfId="32" applyFont="1" applyFill="1" applyBorder="1" applyAlignment="1">
      <alignment horizontal="center" vertical="center" wrapText="1"/>
    </xf>
    <xf numFmtId="0" fontId="18" fillId="7" borderId="23" xfId="32" applyFont="1" applyFill="1" applyBorder="1" applyAlignment="1">
      <alignment horizontal="center" vertical="center" wrapText="1"/>
    </xf>
    <xf numFmtId="0" fontId="18" fillId="7" borderId="9" xfId="32" applyFont="1" applyFill="1" applyBorder="1" applyAlignment="1">
      <alignment horizontal="center" vertical="center" wrapText="1"/>
    </xf>
    <xf numFmtId="0" fontId="18" fillId="7" borderId="0" xfId="32" applyFont="1" applyFill="1" applyAlignment="1">
      <alignment horizontal="center" vertical="center" wrapText="1"/>
    </xf>
    <xf numFmtId="0" fontId="18" fillId="7" borderId="24" xfId="32" applyFont="1" applyFill="1" applyBorder="1" applyAlignment="1">
      <alignment horizontal="center" vertical="center" wrapText="1"/>
    </xf>
    <xf numFmtId="0" fontId="18" fillId="7" borderId="21" xfId="32" applyFont="1" applyFill="1" applyBorder="1" applyAlignment="1">
      <alignment horizontal="center" vertical="center" wrapText="1"/>
    </xf>
    <xf numFmtId="0" fontId="18" fillId="7" borderId="22" xfId="32" applyFont="1" applyFill="1" applyBorder="1" applyAlignment="1">
      <alignment horizontal="center" vertical="center" wrapText="1"/>
    </xf>
    <xf numFmtId="0" fontId="18" fillId="7" borderId="44" xfId="32" applyFont="1" applyFill="1" applyBorder="1" applyAlignment="1">
      <alignment horizontal="center" vertical="center" wrapText="1"/>
    </xf>
    <xf numFmtId="0" fontId="19" fillId="7" borderId="49" xfId="32" applyFont="1" applyFill="1" applyBorder="1" applyAlignment="1">
      <alignment horizontal="center" vertical="center"/>
    </xf>
    <xf numFmtId="0" fontId="8" fillId="7" borderId="59" xfId="35" applyFont="1" applyFill="1" applyBorder="1" applyAlignment="1">
      <alignment horizontal="center" vertical="center" wrapText="1"/>
    </xf>
    <xf numFmtId="0" fontId="8" fillId="7" borderId="60" xfId="35" applyFont="1" applyFill="1" applyBorder="1" applyAlignment="1">
      <alignment horizontal="center" vertical="center" wrapText="1"/>
    </xf>
    <xf numFmtId="0" fontId="8" fillId="7" borderId="61" xfId="35" applyFont="1" applyFill="1" applyBorder="1" applyAlignment="1">
      <alignment horizontal="center" vertical="center" wrapText="1"/>
    </xf>
    <xf numFmtId="0" fontId="7" fillId="0" borderId="77" xfId="32" applyFont="1" applyBorder="1" applyAlignment="1">
      <alignment horizontal="center" vertical="center"/>
    </xf>
    <xf numFmtId="0" fontId="7" fillId="0" borderId="47" xfId="32" applyFont="1" applyBorder="1" applyAlignment="1">
      <alignment horizontal="center" vertical="center"/>
    </xf>
    <xf numFmtId="0" fontId="18" fillId="7" borderId="18" xfId="32" applyFont="1" applyFill="1" applyBorder="1" applyAlignment="1">
      <alignment horizontal="center" vertical="center" wrapText="1"/>
    </xf>
    <xf numFmtId="0" fontId="18" fillId="7" borderId="19" xfId="32" applyFont="1" applyFill="1" applyBorder="1" applyAlignment="1">
      <alignment horizontal="center" vertical="center" wrapText="1"/>
    </xf>
    <xf numFmtId="0" fontId="18" fillId="7" borderId="20" xfId="32" applyFont="1" applyFill="1" applyBorder="1" applyAlignment="1">
      <alignment horizontal="center" vertical="center" wrapText="1"/>
    </xf>
    <xf numFmtId="177" fontId="11" fillId="0" borderId="0" xfId="35" applyNumberFormat="1" applyBorder="1" applyAlignment="1">
      <alignment horizontal="center"/>
    </xf>
    <xf numFmtId="2" fontId="21" fillId="0" borderId="21" xfId="32" applyNumberFormat="1" applyFont="1" applyBorder="1" applyAlignment="1">
      <alignment horizontal="center" vertical="center"/>
    </xf>
    <xf numFmtId="2" fontId="21" fillId="0" borderId="22" xfId="32" applyNumberFormat="1" applyFont="1" applyBorder="1" applyAlignment="1">
      <alignment horizontal="center" vertical="center"/>
    </xf>
    <xf numFmtId="2" fontId="21" fillId="0" borderId="44" xfId="32" applyNumberFormat="1" applyFont="1" applyBorder="1" applyAlignment="1">
      <alignment horizontal="center" vertical="center"/>
    </xf>
    <xf numFmtId="2" fontId="26" fillId="7" borderId="25" xfId="35" applyNumberFormat="1" applyFont="1" applyFill="1" applyBorder="1" applyAlignment="1">
      <alignment horizontal="center" vertical="center"/>
    </xf>
    <xf numFmtId="0" fontId="26" fillId="7" borderId="25" xfId="35" applyFont="1" applyFill="1" applyBorder="1" applyAlignment="1">
      <alignment horizontal="center" vertical="center"/>
    </xf>
    <xf numFmtId="0" fontId="19" fillId="7" borderId="8" xfId="35" applyFont="1" applyFill="1" applyBorder="1" applyAlignment="1">
      <alignment horizontal="center" vertical="center"/>
    </xf>
    <xf numFmtId="0" fontId="21" fillId="0" borderId="10" xfId="32" applyFont="1" applyBorder="1" applyAlignment="1">
      <alignment horizontal="left" vertical="center" wrapText="1"/>
    </xf>
    <xf numFmtId="0" fontId="21" fillId="0" borderId="8" xfId="32" applyFont="1" applyBorder="1" applyAlignment="1">
      <alignment horizontal="left" vertical="center" wrapText="1"/>
    </xf>
    <xf numFmtId="0" fontId="21" fillId="0" borderId="23" xfId="32" applyFont="1" applyBorder="1" applyAlignment="1">
      <alignment horizontal="left" vertical="center" wrapText="1"/>
    </xf>
    <xf numFmtId="0" fontId="21" fillId="0" borderId="9" xfId="32" applyFont="1" applyBorder="1" applyAlignment="1">
      <alignment horizontal="left" vertical="center" wrapText="1"/>
    </xf>
    <xf numFmtId="0" fontId="21" fillId="0" borderId="0" xfId="32" applyFont="1" applyAlignment="1">
      <alignment horizontal="left" vertical="center" wrapText="1"/>
    </xf>
    <xf numFmtId="0" fontId="21" fillId="0" borderId="24" xfId="32" applyFont="1" applyBorder="1" applyAlignment="1">
      <alignment horizontal="left" vertical="center" wrapText="1"/>
    </xf>
    <xf numFmtId="0" fontId="21" fillId="0" borderId="21" xfId="32" applyFont="1" applyBorder="1" applyAlignment="1">
      <alignment horizontal="left" vertical="center" wrapText="1"/>
    </xf>
    <xf numFmtId="0" fontId="21" fillId="0" borderId="22" xfId="32" applyFont="1" applyBorder="1" applyAlignment="1">
      <alignment horizontal="left" vertical="center" wrapText="1"/>
    </xf>
    <xf numFmtId="0" fontId="21" fillId="0" borderId="44" xfId="32" applyFont="1" applyBorder="1" applyAlignment="1">
      <alignment horizontal="left" vertical="center" wrapText="1"/>
    </xf>
    <xf numFmtId="0" fontId="21" fillId="0" borderId="10" xfId="35" applyFont="1" applyBorder="1" applyAlignment="1">
      <alignment horizontal="center" vertical="center"/>
    </xf>
    <xf numFmtId="0" fontId="21" fillId="0" borderId="9" xfId="35" applyFont="1" applyBorder="1" applyAlignment="1">
      <alignment horizontal="center" vertical="center"/>
    </xf>
    <xf numFmtId="0" fontId="21" fillId="0" borderId="10" xfId="32" applyFont="1" applyBorder="1" applyAlignment="1">
      <alignment horizontal="center" vertical="center" wrapText="1"/>
    </xf>
    <xf numFmtId="0" fontId="21" fillId="0" borderId="8" xfId="32" applyFont="1" applyBorder="1" applyAlignment="1">
      <alignment horizontal="center" vertical="center" wrapText="1"/>
    </xf>
    <xf numFmtId="0" fontId="21" fillId="0" borderId="23" xfId="32" applyFont="1" applyBorder="1" applyAlignment="1">
      <alignment horizontal="center" vertical="center" wrapText="1"/>
    </xf>
    <xf numFmtId="0" fontId="21" fillId="0" borderId="9" xfId="32" applyFont="1" applyBorder="1" applyAlignment="1">
      <alignment horizontal="center" vertical="center" wrapText="1"/>
    </xf>
    <xf numFmtId="0" fontId="21" fillId="0" borderId="0" xfId="32" applyFont="1" applyAlignment="1">
      <alignment horizontal="center" vertical="center" wrapText="1"/>
    </xf>
    <xf numFmtId="0" fontId="21" fillId="0" borderId="24" xfId="32" applyFont="1" applyBorder="1" applyAlignment="1">
      <alignment horizontal="center" vertical="center" wrapText="1"/>
    </xf>
    <xf numFmtId="0" fontId="21" fillId="0" borderId="21" xfId="32" applyFont="1" applyBorder="1" applyAlignment="1">
      <alignment horizontal="center" vertical="center" wrapText="1"/>
    </xf>
    <xf numFmtId="0" fontId="21" fillId="0" borderId="22" xfId="32" applyFont="1" applyBorder="1" applyAlignment="1">
      <alignment horizontal="center" vertical="center" wrapText="1"/>
    </xf>
    <xf numFmtId="0" fontId="21" fillId="0" borderId="44" xfId="32" applyFont="1" applyBorder="1" applyAlignment="1">
      <alignment horizontal="center" vertical="center" wrapText="1"/>
    </xf>
    <xf numFmtId="0" fontId="21" fillId="0" borderId="0" xfId="32" applyFont="1" applyBorder="1" applyAlignment="1">
      <alignment horizontal="center" vertical="center" wrapText="1"/>
    </xf>
    <xf numFmtId="0" fontId="21" fillId="0" borderId="49" xfId="32" applyFont="1" applyBorder="1" applyAlignment="1">
      <alignment horizontal="center" vertical="center"/>
    </xf>
    <xf numFmtId="0" fontId="21" fillId="0" borderId="46" xfId="32" applyFont="1" applyBorder="1" applyAlignment="1">
      <alignment horizontal="center" vertical="center"/>
    </xf>
    <xf numFmtId="0" fontId="21" fillId="0" borderId="50" xfId="32" applyFont="1" applyBorder="1" applyAlignment="1">
      <alignment horizontal="center" vertical="center"/>
    </xf>
    <xf numFmtId="179" fontId="26" fillId="7" borderId="25" xfId="35" applyNumberFormat="1" applyFont="1" applyFill="1" applyBorder="1" applyAlignment="1">
      <alignment horizontal="center" vertical="center"/>
    </xf>
    <xf numFmtId="2" fontId="26" fillId="9" borderId="25" xfId="35" applyNumberFormat="1" applyFont="1" applyFill="1" applyBorder="1" applyAlignment="1">
      <alignment horizontal="center" vertical="center"/>
    </xf>
    <xf numFmtId="0" fontId="26" fillId="9" borderId="25" xfId="35" applyFont="1" applyFill="1" applyBorder="1" applyAlignment="1">
      <alignment horizontal="center" vertical="center"/>
    </xf>
    <xf numFmtId="0" fontId="21" fillId="9" borderId="10" xfId="32" applyFont="1" applyFill="1" applyBorder="1" applyAlignment="1">
      <alignment horizontal="center" vertical="center" wrapText="1"/>
    </xf>
    <xf numFmtId="0" fontId="21" fillId="9" borderId="8" xfId="32" applyFont="1" applyFill="1" applyBorder="1" applyAlignment="1">
      <alignment horizontal="center" vertical="center" wrapText="1"/>
    </xf>
    <xf numFmtId="0" fontId="21" fillId="9" borderId="9" xfId="32" applyFont="1" applyFill="1" applyBorder="1" applyAlignment="1">
      <alignment horizontal="center" vertical="center" wrapText="1"/>
    </xf>
    <xf numFmtId="0" fontId="21" fillId="9" borderId="0" xfId="32" applyFont="1" applyFill="1" applyBorder="1" applyAlignment="1">
      <alignment horizontal="center" vertical="center" wrapText="1"/>
    </xf>
    <xf numFmtId="0" fontId="21" fillId="9" borderId="21" xfId="32" applyFont="1" applyFill="1" applyBorder="1" applyAlignment="1">
      <alignment horizontal="center" vertical="center" wrapText="1"/>
    </xf>
    <xf numFmtId="0" fontId="21" fillId="9" borderId="22" xfId="32" applyFont="1" applyFill="1" applyBorder="1" applyAlignment="1">
      <alignment horizontal="center" vertical="center" wrapText="1"/>
    </xf>
    <xf numFmtId="0" fontId="21" fillId="9" borderId="46" xfId="32" applyFont="1" applyFill="1" applyBorder="1" applyAlignment="1">
      <alignment horizontal="center" vertical="center"/>
    </xf>
    <xf numFmtId="0" fontId="21" fillId="9" borderId="50" xfId="32" applyFont="1" applyFill="1" applyBorder="1" applyAlignment="1">
      <alignment horizontal="center" vertical="center"/>
    </xf>
    <xf numFmtId="0" fontId="21" fillId="9" borderId="10" xfId="32" applyFont="1" applyFill="1" applyBorder="1" applyAlignment="1">
      <alignment horizontal="left" vertical="center" wrapText="1"/>
    </xf>
    <xf numFmtId="0" fontId="21" fillId="9" borderId="8" xfId="32" applyFont="1" applyFill="1" applyBorder="1" applyAlignment="1">
      <alignment horizontal="left" vertical="center" wrapText="1"/>
    </xf>
    <xf numFmtId="0" fontId="21" fillId="9" borderId="23" xfId="32" applyFont="1" applyFill="1" applyBorder="1" applyAlignment="1">
      <alignment horizontal="left" vertical="center" wrapText="1"/>
    </xf>
    <xf numFmtId="0" fontId="21" fillId="9" borderId="9" xfId="32" applyFont="1" applyFill="1" applyBorder="1" applyAlignment="1">
      <alignment horizontal="left" vertical="center" wrapText="1"/>
    </xf>
    <xf numFmtId="0" fontId="21" fillId="9" borderId="0" xfId="32" applyFont="1" applyFill="1" applyAlignment="1">
      <alignment horizontal="left" vertical="center" wrapText="1"/>
    </xf>
    <xf numFmtId="0" fontId="21" fillId="9" borderId="24" xfId="32" applyFont="1" applyFill="1" applyBorder="1" applyAlignment="1">
      <alignment horizontal="left" vertical="center" wrapText="1"/>
    </xf>
    <xf numFmtId="0" fontId="21" fillId="9" borderId="21" xfId="32" applyFont="1" applyFill="1" applyBorder="1" applyAlignment="1">
      <alignment horizontal="left" vertical="center" wrapText="1"/>
    </xf>
    <xf numFmtId="0" fontId="21" fillId="9" borderId="22" xfId="32" applyFont="1" applyFill="1" applyBorder="1" applyAlignment="1">
      <alignment horizontal="left" vertical="center" wrapText="1"/>
    </xf>
    <xf numFmtId="0" fontId="21" fillId="9" borderId="44" xfId="32" applyFont="1" applyFill="1" applyBorder="1" applyAlignment="1">
      <alignment horizontal="left" vertical="center" wrapText="1"/>
    </xf>
    <xf numFmtId="0" fontId="21" fillId="9" borderId="10" xfId="35" applyFont="1" applyFill="1" applyBorder="1" applyAlignment="1">
      <alignment horizontal="center" vertical="center"/>
    </xf>
    <xf numFmtId="0" fontId="21" fillId="9" borderId="8" xfId="35" applyFont="1" applyFill="1" applyBorder="1" applyAlignment="1">
      <alignment horizontal="center" vertical="center"/>
    </xf>
    <xf numFmtId="0" fontId="21" fillId="9" borderId="23" xfId="35" applyFont="1" applyFill="1" applyBorder="1" applyAlignment="1">
      <alignment horizontal="center" vertical="center"/>
    </xf>
    <xf numFmtId="0" fontId="21" fillId="9" borderId="9" xfId="35" applyFont="1" applyFill="1" applyBorder="1" applyAlignment="1">
      <alignment horizontal="center" vertical="center"/>
    </xf>
    <xf numFmtId="0" fontId="21" fillId="9" borderId="0" xfId="35" applyFont="1" applyFill="1" applyAlignment="1">
      <alignment horizontal="center" vertical="center"/>
    </xf>
    <xf numFmtId="0" fontId="21" fillId="9" borderId="24" xfId="35" applyFont="1" applyFill="1" applyBorder="1" applyAlignment="1">
      <alignment horizontal="center" vertical="center"/>
    </xf>
    <xf numFmtId="0" fontId="21" fillId="9" borderId="23" xfId="32" applyFont="1" applyFill="1" applyBorder="1" applyAlignment="1">
      <alignment horizontal="center" vertical="center" wrapText="1"/>
    </xf>
    <xf numFmtId="0" fontId="21" fillId="9" borderId="0" xfId="32" applyFont="1" applyFill="1" applyAlignment="1">
      <alignment horizontal="center" vertical="center" wrapText="1"/>
    </xf>
    <xf numFmtId="0" fontId="21" fillId="9" borderId="24" xfId="32" applyFont="1" applyFill="1" applyBorder="1" applyAlignment="1">
      <alignment horizontal="center" vertical="center" wrapText="1"/>
    </xf>
    <xf numFmtId="0" fontId="21" fillId="9" borderId="44" xfId="32" applyFont="1" applyFill="1" applyBorder="1" applyAlignment="1">
      <alignment horizontal="center" vertical="center" wrapText="1"/>
    </xf>
    <xf numFmtId="177" fontId="26" fillId="7" borderId="25" xfId="35" applyNumberFormat="1" applyFont="1" applyFill="1" applyBorder="1" applyAlignment="1">
      <alignment horizontal="center" vertical="center"/>
    </xf>
    <xf numFmtId="0" fontId="21" fillId="9" borderId="49" xfId="32" applyFont="1" applyFill="1" applyBorder="1" applyAlignment="1">
      <alignment horizontal="center" vertical="center"/>
    </xf>
    <xf numFmtId="179" fontId="26" fillId="7" borderId="56" xfId="35" applyNumberFormat="1" applyFont="1" applyFill="1" applyBorder="1" applyAlignment="1">
      <alignment horizontal="center" vertical="center"/>
    </xf>
    <xf numFmtId="179" fontId="26" fillId="7" borderId="57" xfId="35" applyNumberFormat="1" applyFont="1" applyFill="1" applyBorder="1" applyAlignment="1">
      <alignment horizontal="center" vertical="center"/>
    </xf>
    <xf numFmtId="179" fontId="26" fillId="7" borderId="58" xfId="35" applyNumberFormat="1" applyFont="1" applyFill="1" applyBorder="1" applyAlignment="1">
      <alignment horizontal="center" vertical="center"/>
    </xf>
    <xf numFmtId="179" fontId="26" fillId="0" borderId="25" xfId="35" applyNumberFormat="1" applyFont="1" applyBorder="1" applyAlignment="1">
      <alignment horizontal="center"/>
    </xf>
    <xf numFmtId="0" fontId="24" fillId="7" borderId="65" xfId="35" applyFont="1" applyFill="1" applyBorder="1" applyAlignment="1">
      <alignment horizontal="center" vertical="center" wrapText="1"/>
    </xf>
    <xf numFmtId="0" fontId="24" fillId="7" borderId="66" xfId="35" applyFont="1" applyFill="1" applyBorder="1" applyAlignment="1">
      <alignment horizontal="center" vertical="center" wrapText="1"/>
    </xf>
    <xf numFmtId="0" fontId="24" fillId="7" borderId="67" xfId="35" applyFont="1" applyFill="1" applyBorder="1" applyAlignment="1">
      <alignment horizontal="center" vertical="center" wrapText="1"/>
    </xf>
    <xf numFmtId="0" fontId="24" fillId="7" borderId="62" xfId="35" applyFont="1" applyFill="1" applyBorder="1" applyAlignment="1">
      <alignment horizontal="center" vertical="center" wrapText="1"/>
    </xf>
    <xf numFmtId="0" fontId="24" fillId="7" borderId="63" xfId="35" applyFont="1" applyFill="1" applyBorder="1" applyAlignment="1">
      <alignment horizontal="center" vertical="center" wrapText="1"/>
    </xf>
    <xf numFmtId="0" fontId="24" fillId="7" borderId="64" xfId="35" applyFont="1" applyFill="1" applyBorder="1" applyAlignment="1">
      <alignment horizontal="center" vertical="center" wrapText="1"/>
    </xf>
    <xf numFmtId="0" fontId="24" fillId="7" borderId="68" xfId="35" applyFont="1" applyFill="1" applyBorder="1" applyAlignment="1">
      <alignment horizontal="center" vertical="center" wrapText="1"/>
    </xf>
    <xf numFmtId="0" fontId="24" fillId="7" borderId="69" xfId="35" applyFont="1" applyFill="1" applyBorder="1" applyAlignment="1">
      <alignment horizontal="center" vertical="center" wrapText="1"/>
    </xf>
    <xf numFmtId="0" fontId="24" fillId="7" borderId="70" xfId="35" applyFont="1" applyFill="1" applyBorder="1" applyAlignment="1">
      <alignment horizontal="center" vertical="center" wrapText="1"/>
    </xf>
    <xf numFmtId="0" fontId="24" fillId="7" borderId="59" xfId="35" applyFont="1" applyFill="1" applyBorder="1" applyAlignment="1">
      <alignment horizontal="center" vertical="center" wrapText="1"/>
    </xf>
    <xf numFmtId="0" fontId="24" fillId="7" borderId="60" xfId="35" applyFont="1" applyFill="1" applyBorder="1" applyAlignment="1">
      <alignment horizontal="center" vertical="center" wrapText="1"/>
    </xf>
    <xf numFmtId="0" fontId="24" fillId="7" borderId="61" xfId="35" applyFont="1" applyFill="1" applyBorder="1" applyAlignment="1">
      <alignment horizontal="center" vertical="center" wrapText="1"/>
    </xf>
    <xf numFmtId="179" fontId="32" fillId="7" borderId="25" xfId="32" applyNumberFormat="1" applyFont="1" applyFill="1" applyBorder="1" applyAlignment="1">
      <alignment horizontal="left" vertical="top"/>
    </xf>
    <xf numFmtId="179" fontId="26" fillId="0" borderId="25" xfId="32" applyNumberFormat="1" applyFont="1" applyBorder="1" applyAlignment="1">
      <alignment horizontal="center"/>
    </xf>
    <xf numFmtId="2" fontId="26" fillId="7" borderId="56" xfId="35" applyNumberFormat="1" applyFont="1" applyFill="1" applyBorder="1" applyAlignment="1">
      <alignment horizontal="center" vertical="center"/>
    </xf>
    <xf numFmtId="0" fontId="26" fillId="7" borderId="57" xfId="35" applyFont="1" applyFill="1" applyBorder="1" applyAlignment="1">
      <alignment horizontal="center" vertical="center"/>
    </xf>
    <xf numFmtId="0" fontId="26" fillId="7" borderId="58" xfId="35" applyFont="1" applyFill="1" applyBorder="1" applyAlignment="1">
      <alignment horizontal="center" vertical="center"/>
    </xf>
    <xf numFmtId="0" fontId="21" fillId="10" borderId="49" xfId="32" applyFont="1" applyFill="1" applyBorder="1" applyAlignment="1">
      <alignment horizontal="center" vertical="center"/>
    </xf>
    <xf numFmtId="0" fontId="21" fillId="10" borderId="46" xfId="32" applyFont="1" applyFill="1" applyBorder="1" applyAlignment="1">
      <alignment horizontal="center" vertical="center"/>
    </xf>
    <xf numFmtId="0" fontId="21" fillId="10" borderId="50" xfId="32" applyFont="1" applyFill="1" applyBorder="1" applyAlignment="1">
      <alignment horizontal="center" vertical="center"/>
    </xf>
    <xf numFmtId="0" fontId="21" fillId="0" borderId="8" xfId="35" applyFont="1" applyBorder="1" applyAlignment="1">
      <alignment horizontal="center" vertical="center"/>
    </xf>
    <xf numFmtId="0" fontId="21" fillId="0" borderId="23" xfId="35" applyFont="1" applyBorder="1" applyAlignment="1">
      <alignment horizontal="center" vertical="center"/>
    </xf>
    <xf numFmtId="0" fontId="21" fillId="0" borderId="0" xfId="35" applyFont="1" applyAlignment="1">
      <alignment horizontal="center" vertical="center"/>
    </xf>
    <xf numFmtId="0" fontId="21" fillId="0" borderId="24" xfId="35" applyFont="1" applyBorder="1" applyAlignment="1">
      <alignment horizontal="center" vertical="center"/>
    </xf>
    <xf numFmtId="0" fontId="20" fillId="0" borderId="10" xfId="35" applyFont="1" applyBorder="1" applyAlignment="1">
      <alignment horizontal="center" vertical="center"/>
    </xf>
    <xf numFmtId="0" fontId="20" fillId="0" borderId="21" xfId="35" applyFont="1" applyBorder="1" applyAlignment="1">
      <alignment horizontal="center" vertical="center"/>
    </xf>
    <xf numFmtId="0" fontId="19" fillId="0" borderId="8" xfId="35" applyFont="1" applyBorder="1" applyAlignment="1">
      <alignment horizontal="center" vertical="center" textRotation="90" wrapText="1"/>
    </xf>
    <xf numFmtId="0" fontId="19" fillId="0" borderId="23" xfId="35" applyFont="1" applyBorder="1" applyAlignment="1">
      <alignment horizontal="center" vertical="center" textRotation="90" wrapText="1"/>
    </xf>
    <xf numFmtId="0" fontId="19" fillId="0" borderId="22" xfId="35" applyFont="1" applyBorder="1" applyAlignment="1">
      <alignment horizontal="center" vertical="center" textRotation="90" wrapText="1"/>
    </xf>
    <xf numFmtId="0" fontId="19" fillId="0" borderId="44" xfId="35" applyFont="1" applyBorder="1" applyAlignment="1">
      <alignment horizontal="center" vertical="center" textRotation="90" wrapText="1"/>
    </xf>
    <xf numFmtId="0" fontId="19" fillId="0" borderId="0" xfId="35" applyFont="1" applyBorder="1" applyAlignment="1">
      <alignment horizontal="center" wrapText="1"/>
    </xf>
    <xf numFmtId="0" fontId="19" fillId="0" borderId="22" xfId="35" applyFont="1" applyBorder="1" applyAlignment="1">
      <alignment horizontal="center" wrapText="1"/>
    </xf>
    <xf numFmtId="0" fontId="19" fillId="7" borderId="10" xfId="35" applyFont="1" applyFill="1" applyBorder="1" applyAlignment="1">
      <alignment horizontal="center" vertical="center" wrapText="1"/>
    </xf>
    <xf numFmtId="0" fontId="19" fillId="7" borderId="8" xfId="35" applyFont="1" applyFill="1" applyBorder="1" applyAlignment="1">
      <alignment horizontal="center" vertical="center" wrapText="1"/>
    </xf>
    <xf numFmtId="0" fontId="19" fillId="7" borderId="23" xfId="35" applyFont="1" applyFill="1" applyBorder="1" applyAlignment="1">
      <alignment horizontal="center" vertical="center" wrapText="1"/>
    </xf>
    <xf numFmtId="0" fontId="19" fillId="7" borderId="9" xfId="35" applyFont="1" applyFill="1" applyBorder="1" applyAlignment="1">
      <alignment horizontal="center" vertical="center" wrapText="1"/>
    </xf>
    <xf numFmtId="0" fontId="19" fillId="7" borderId="0" xfId="35" applyFont="1" applyFill="1" applyAlignment="1">
      <alignment horizontal="center" vertical="center" wrapText="1"/>
    </xf>
    <xf numFmtId="0" fontId="19" fillId="7" borderId="24" xfId="35" applyFont="1" applyFill="1" applyBorder="1" applyAlignment="1">
      <alignment horizontal="center" vertical="center" wrapText="1"/>
    </xf>
    <xf numFmtId="0" fontId="19" fillId="7" borderId="21" xfId="35" applyFont="1" applyFill="1" applyBorder="1" applyAlignment="1">
      <alignment horizontal="center" vertical="center" wrapText="1"/>
    </xf>
    <xf numFmtId="0" fontId="19" fillId="7" borderId="22" xfId="35" applyFont="1" applyFill="1" applyBorder="1" applyAlignment="1">
      <alignment horizontal="center" vertical="center" wrapText="1"/>
    </xf>
    <xf numFmtId="0" fontId="19" fillId="7" borderId="44" xfId="35" applyFont="1" applyFill="1" applyBorder="1" applyAlignment="1">
      <alignment horizontal="center" vertical="center" wrapText="1"/>
    </xf>
    <xf numFmtId="0" fontId="19" fillId="0" borderId="0" xfId="35" applyFont="1" applyAlignment="1">
      <alignment horizontal="center" vertical="center" wrapText="1"/>
    </xf>
    <xf numFmtId="0" fontId="19" fillId="0" borderId="22" xfId="35" applyFont="1" applyBorder="1" applyAlignment="1">
      <alignment horizontal="center" vertical="center" wrapText="1"/>
    </xf>
    <xf numFmtId="0" fontId="19" fillId="0" borderId="9" xfId="35" applyFont="1" applyBorder="1" applyAlignment="1">
      <alignment horizontal="center" vertical="center" textRotation="90" wrapText="1"/>
    </xf>
    <xf numFmtId="0" fontId="19" fillId="0" borderId="24" xfId="35" applyFont="1" applyBorder="1" applyAlignment="1">
      <alignment horizontal="center" vertical="center" textRotation="90" wrapText="1"/>
    </xf>
    <xf numFmtId="0" fontId="19" fillId="0" borderId="21" xfId="35" applyFont="1" applyBorder="1" applyAlignment="1">
      <alignment horizontal="center" vertical="center" textRotation="90" wrapText="1"/>
    </xf>
    <xf numFmtId="0" fontId="19" fillId="7" borderId="22" xfId="35" applyFont="1" applyFill="1" applyBorder="1" applyAlignment="1">
      <alignment horizontal="center" vertical="center"/>
    </xf>
    <xf numFmtId="0" fontId="19" fillId="7" borderId="8" xfId="35" quotePrefix="1" applyFont="1" applyFill="1" applyBorder="1" applyAlignment="1">
      <alignment horizontal="center" vertical="center"/>
    </xf>
    <xf numFmtId="0" fontId="19" fillId="7" borderId="22" xfId="35" quotePrefix="1" applyFont="1" applyFill="1" applyBorder="1" applyAlignment="1">
      <alignment horizontal="center" vertical="center"/>
    </xf>
    <xf numFmtId="17" fontId="19" fillId="7" borderId="8" xfId="35" quotePrefix="1" applyNumberFormat="1" applyFont="1" applyFill="1" applyBorder="1" applyAlignment="1">
      <alignment horizontal="center" vertical="center"/>
    </xf>
    <xf numFmtId="0" fontId="18" fillId="7" borderId="9" xfId="35" applyFont="1" applyFill="1" applyBorder="1" applyAlignment="1">
      <alignment horizontal="center"/>
    </xf>
    <xf numFmtId="0" fontId="18" fillId="7" borderId="0" xfId="35" applyFont="1" applyFill="1" applyAlignment="1">
      <alignment horizontal="center"/>
    </xf>
    <xf numFmtId="0" fontId="19" fillId="7" borderId="6" xfId="35" applyFont="1" applyFill="1" applyBorder="1" applyAlignment="1">
      <alignment horizontal="center" vertical="center"/>
    </xf>
    <xf numFmtId="2" fontId="11" fillId="0" borderId="0" xfId="35" applyNumberFormat="1" applyBorder="1" applyAlignment="1">
      <alignment horizontal="center"/>
    </xf>
    <xf numFmtId="179" fontId="11" fillId="0" borderId="0" xfId="35" applyNumberFormat="1" applyBorder="1" applyAlignment="1">
      <alignment horizontal="center"/>
    </xf>
    <xf numFmtId="1" fontId="11" fillId="0" borderId="0" xfId="35" applyNumberFormat="1" applyBorder="1" applyAlignment="1">
      <alignment horizontal="center"/>
    </xf>
    <xf numFmtId="179" fontId="11" fillId="0" borderId="9" xfId="35" applyNumberFormat="1" applyBorder="1" applyAlignment="1">
      <alignment horizontal="center"/>
    </xf>
    <xf numFmtId="179" fontId="26" fillId="0" borderId="25" xfId="35" applyNumberFormat="1" applyFont="1" applyFill="1" applyBorder="1" applyAlignment="1">
      <alignment horizontal="center" vertical="center"/>
    </xf>
  </cellXfs>
  <cellStyles count="48"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0" xfId="8"/>
    <cellStyle name="Curren - Style3" xfId="9"/>
    <cellStyle name="Curren - Style4" xfId="10"/>
    <cellStyle name="Currency0" xfId="11"/>
    <cellStyle name="Date" xfId="12"/>
    <cellStyle name="Fixed" xfId="13"/>
    <cellStyle name="Grey" xfId="14"/>
    <cellStyle name="Header - Style1" xfId="15"/>
    <cellStyle name="Heading" xfId="16"/>
    <cellStyle name="Heading1" xfId="17"/>
    <cellStyle name="Heading2" xfId="18"/>
    <cellStyle name="Input [yellow]" xfId="19"/>
    <cellStyle name="M" xfId="20"/>
    <cellStyle name="M_1" xfId="21"/>
    <cellStyle name="M_CYL COMP KZRA  WSIRD AUTO MASTER 2013" xfId="22"/>
    <cellStyle name="M_OP 10" xfId="23"/>
    <cellStyle name="M_WSIRD QCL KZLN CYL HEAD" xfId="24"/>
    <cellStyle name="Milliers [0]_AR1194" xfId="25"/>
    <cellStyle name="Milliers_AR1194" xfId="26"/>
    <cellStyle name="Monétaire [0]_AR1194" xfId="27"/>
    <cellStyle name="Monétaire_AR1194" xfId="28"/>
    <cellStyle name="Normal" xfId="0" builtinId="0"/>
    <cellStyle name="Normal - Style1" xfId="29"/>
    <cellStyle name="Normal - Style5" xfId="30"/>
    <cellStyle name="Normal 2" xfId="31"/>
    <cellStyle name="Normal 2 2" xfId="32"/>
    <cellStyle name="Normal 2 2 2" xfId="33"/>
    <cellStyle name="Normal 2_1" xfId="34"/>
    <cellStyle name="Normal 3" xfId="35"/>
    <cellStyle name="Normal 3 2" xfId="36"/>
    <cellStyle name="Normal 4" xfId="37"/>
    <cellStyle name="Œ…‹æØ‚è [0.00]_‘¹‰vŒvŽZ‘" xfId="38"/>
    <cellStyle name="Percent [2]" xfId="39"/>
    <cellStyle name="PERCENTAGE" xfId="40"/>
    <cellStyle name="r13.5" xfId="41"/>
    <cellStyle name="Table" xfId="42"/>
    <cellStyle name="Total" xfId="43" builtinId="25" customBuiltin="1"/>
    <cellStyle name="Tusental_NPV" xfId="44"/>
    <cellStyle name="Valuta_NPV" xfId="45"/>
    <cellStyle name="WHead - Style2" xfId="46"/>
    <cellStyle name="標準_KFLF-FRAME" xfId="47"/>
  </cellStyles>
  <dxfs count="6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220980</xdr:colOff>
      <xdr:row>24</xdr:row>
      <xdr:rowOff>68580</xdr:rowOff>
    </xdr:from>
    <xdr:to>
      <xdr:col>46</xdr:col>
      <xdr:colOff>220980</xdr:colOff>
      <xdr:row>27</xdr:row>
      <xdr:rowOff>0</xdr:rowOff>
    </xdr:to>
    <xdr:sp macro="" textlink="">
      <xdr:nvSpPr>
        <xdr:cNvPr id="41510" name="Rectangle 9"/>
        <xdr:cNvSpPr>
          <a:spLocks noChangeArrowheads="1"/>
        </xdr:cNvSpPr>
      </xdr:nvSpPr>
      <xdr:spPr bwMode="auto">
        <a:xfrm>
          <a:off x="26494740" y="4648200"/>
          <a:ext cx="0" cy="52578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37</xdr:col>
      <xdr:colOff>403860</xdr:colOff>
      <xdr:row>32</xdr:row>
      <xdr:rowOff>114300</xdr:rowOff>
    </xdr:from>
    <xdr:to>
      <xdr:col>41</xdr:col>
      <xdr:colOff>358140</xdr:colOff>
      <xdr:row>32</xdr:row>
      <xdr:rowOff>114300</xdr:rowOff>
    </xdr:to>
    <xdr:sp macro="" textlink="">
      <xdr:nvSpPr>
        <xdr:cNvPr id="3" name="Text Box 1">
          <a:extLst/>
        </xdr:cNvPr>
        <xdr:cNvSpPr txBox="1">
          <a:spLocks noChangeArrowheads="1"/>
        </xdr:cNvSpPr>
      </xdr:nvSpPr>
      <xdr:spPr bwMode="auto">
        <a:xfrm>
          <a:off x="19343370" y="6334125"/>
          <a:ext cx="2400300" cy="0"/>
        </a:xfrm>
        <a:prstGeom prst="rect">
          <a:avLst/>
        </a:prstGeom>
        <a:solidFill>
          <a:srgbClr val="FFFFFF"/>
        </a:solidFill>
        <a:ln w="12700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  0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- 0.2</a:t>
          </a:r>
        </a:p>
      </xdr:txBody>
    </xdr:sp>
    <xdr:clientData/>
  </xdr:twoCellAnchor>
  <xdr:twoCellAnchor>
    <xdr:from>
      <xdr:col>37</xdr:col>
      <xdr:colOff>535305</xdr:colOff>
      <xdr:row>32</xdr:row>
      <xdr:rowOff>114300</xdr:rowOff>
    </xdr:from>
    <xdr:to>
      <xdr:col>42</xdr:col>
      <xdr:colOff>57180</xdr:colOff>
      <xdr:row>32</xdr:row>
      <xdr:rowOff>114300</xdr:rowOff>
    </xdr:to>
    <xdr:sp macro="" textlink="">
      <xdr:nvSpPr>
        <xdr:cNvPr id="4" name="Text Box 3">
          <a:extLst/>
        </xdr:cNvPr>
        <xdr:cNvSpPr txBox="1">
          <a:spLocks noChangeArrowheads="1"/>
        </xdr:cNvSpPr>
      </xdr:nvSpPr>
      <xdr:spPr bwMode="auto">
        <a:xfrm>
          <a:off x="19474815" y="6334125"/>
          <a:ext cx="25851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+0.060</a:t>
          </a:r>
        </a:p>
        <a:p>
          <a:pPr algn="l" rtl="0">
            <a:defRPr sz="1000"/>
          </a:pPr>
          <a:r>
            <a:rPr lang="en-US" sz="700" b="0" i="0" strike="noStrike">
              <a:solidFill>
                <a:srgbClr val="000000"/>
              </a:solidFill>
              <a:latin typeface="Arial"/>
              <a:cs typeface="Arial"/>
            </a:rPr>
            <a:t>+0.045</a:t>
          </a:r>
        </a:p>
      </xdr:txBody>
    </xdr:sp>
    <xdr:clientData/>
  </xdr:twoCellAnchor>
  <xdr:twoCellAnchor editAs="oneCell">
    <xdr:from>
      <xdr:col>1</xdr:col>
      <xdr:colOff>144780</xdr:colOff>
      <xdr:row>1</xdr:row>
      <xdr:rowOff>45720</xdr:rowOff>
    </xdr:from>
    <xdr:to>
      <xdr:col>7</xdr:col>
      <xdr:colOff>91440</xdr:colOff>
      <xdr:row>3</xdr:row>
      <xdr:rowOff>53340</xdr:rowOff>
    </xdr:to>
    <xdr:pic>
      <xdr:nvPicPr>
        <xdr:cNvPr id="41513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68580"/>
          <a:ext cx="2080260" cy="403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65917</xdr:colOff>
      <xdr:row>27</xdr:row>
      <xdr:rowOff>189689</xdr:rowOff>
    </xdr:from>
    <xdr:to>
      <xdr:col>10</xdr:col>
      <xdr:colOff>7649</xdr:colOff>
      <xdr:row>29</xdr:row>
      <xdr:rowOff>193158</xdr:rowOff>
    </xdr:to>
    <xdr:sp macro="" textlink="">
      <xdr:nvSpPr>
        <xdr:cNvPr id="6" name="Oval 5">
          <a:extLst/>
        </xdr:cNvPr>
        <xdr:cNvSpPr>
          <a:spLocks noChangeAspect="1"/>
        </xdr:cNvSpPr>
      </xdr:nvSpPr>
      <xdr:spPr bwMode="auto">
        <a:xfrm>
          <a:off x="2837692" y="5409389"/>
          <a:ext cx="370357" cy="403519"/>
        </a:xfrm>
        <a:prstGeom prst="ellipse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45720</xdr:colOff>
      <xdr:row>7</xdr:row>
      <xdr:rowOff>0</xdr:rowOff>
    </xdr:from>
    <xdr:to>
      <xdr:col>21</xdr:col>
      <xdr:colOff>655320</xdr:colOff>
      <xdr:row>10</xdr:row>
      <xdr:rowOff>76200</xdr:rowOff>
    </xdr:to>
    <xdr:grpSp>
      <xdr:nvGrpSpPr>
        <xdr:cNvPr id="41515" name="Group 81"/>
        <xdr:cNvGrpSpPr>
          <a:grpSpLocks/>
        </xdr:cNvGrpSpPr>
      </xdr:nvGrpSpPr>
      <xdr:grpSpPr bwMode="auto">
        <a:xfrm>
          <a:off x="8334793" y="1245220"/>
          <a:ext cx="1445942" cy="689517"/>
          <a:chOff x="6455528" y="2690251"/>
          <a:chExt cx="1856836" cy="759584"/>
        </a:xfrm>
      </xdr:grpSpPr>
      <xdr:pic>
        <xdr:nvPicPr>
          <xdr:cNvPr id="41565" name="Picture 100"/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455528" y="2694068"/>
            <a:ext cx="820502" cy="7557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566" name="Picture 50" descr="Stempel B rev.JPG"/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450608" y="2690251"/>
            <a:ext cx="861756" cy="751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19</xdr:col>
      <xdr:colOff>447131</xdr:colOff>
      <xdr:row>5</xdr:row>
      <xdr:rowOff>163830</xdr:rowOff>
    </xdr:from>
    <xdr:to>
      <xdr:col>21</xdr:col>
      <xdr:colOff>285757</xdr:colOff>
      <xdr:row>11</xdr:row>
      <xdr:rowOff>158176</xdr:rowOff>
    </xdr:to>
    <xdr:sp macro="" textlink="">
      <xdr:nvSpPr>
        <xdr:cNvPr id="10" name="Multiply 9">
          <a:extLst/>
        </xdr:cNvPr>
        <xdr:cNvSpPr/>
      </xdr:nvSpPr>
      <xdr:spPr bwMode="auto">
        <a:xfrm>
          <a:off x="7335611" y="990600"/>
          <a:ext cx="1255939" cy="1186863"/>
        </a:xfrm>
        <a:prstGeom prst="mathMultiply">
          <a:avLst>
            <a:gd name="adj1" fmla="val 3586"/>
          </a:avLst>
        </a:prstGeom>
        <a:solidFill>
          <a:schemeClr val="tx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3</xdr:col>
      <xdr:colOff>274320</xdr:colOff>
      <xdr:row>12</xdr:row>
      <xdr:rowOff>68580</xdr:rowOff>
    </xdr:from>
    <xdr:to>
      <xdr:col>25</xdr:col>
      <xdr:colOff>716280</xdr:colOff>
      <xdr:row>29</xdr:row>
      <xdr:rowOff>152400</xdr:rowOff>
    </xdr:to>
    <xdr:grpSp>
      <xdr:nvGrpSpPr>
        <xdr:cNvPr id="41517" name="Group 57"/>
        <xdr:cNvGrpSpPr>
          <a:grpSpLocks/>
        </xdr:cNvGrpSpPr>
      </xdr:nvGrpSpPr>
      <xdr:grpSpPr bwMode="auto">
        <a:xfrm>
          <a:off x="1036320" y="2335995"/>
          <a:ext cx="12150740" cy="3559283"/>
          <a:chOff x="120436" y="2173941"/>
          <a:chExt cx="11613343" cy="3515743"/>
        </a:xfrm>
      </xdr:grpSpPr>
      <xdr:grpSp>
        <xdr:nvGrpSpPr>
          <xdr:cNvPr id="41524" name="Group 59"/>
          <xdr:cNvGrpSpPr>
            <a:grpSpLocks/>
          </xdr:cNvGrpSpPr>
        </xdr:nvGrpSpPr>
        <xdr:grpSpPr bwMode="auto">
          <a:xfrm>
            <a:off x="120436" y="2471703"/>
            <a:ext cx="2316497" cy="2055472"/>
            <a:chOff x="362174" y="2471703"/>
            <a:chExt cx="1917559" cy="1701490"/>
          </a:xfrm>
        </xdr:grpSpPr>
        <xdr:grpSp>
          <xdr:nvGrpSpPr>
            <xdr:cNvPr id="41552" name="Group 59"/>
            <xdr:cNvGrpSpPr>
              <a:grpSpLocks/>
            </xdr:cNvGrpSpPr>
          </xdr:nvGrpSpPr>
          <xdr:grpSpPr bwMode="auto">
            <a:xfrm>
              <a:off x="1736196" y="3397545"/>
              <a:ext cx="543537" cy="598127"/>
              <a:chOff x="318" y="684"/>
              <a:chExt cx="77" cy="72"/>
            </a:xfrm>
          </xdr:grpSpPr>
          <xdr:sp macro="" textlink="">
            <xdr:nvSpPr>
              <xdr:cNvPr id="48" name="Text Box 60">
                <a:extLst/>
              </xdr:cNvPr>
              <xdr:cNvSpPr txBox="1">
                <a:spLocks noChangeArrowheads="1"/>
              </xdr:cNvSpPr>
            </xdr:nvSpPr>
            <xdr:spPr bwMode="auto">
              <a:xfrm>
                <a:off x="334" y="679"/>
                <a:ext cx="65" cy="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val="FF0000"/>
                </a:solidFill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0">
                  <a:defRPr sz="1000"/>
                </a:pPr>
                <a:r>
                  <a:rPr lang="en-US" sz="800" b="0" i="0" u="none" strike="noStrike" baseline="0">
                    <a:solidFill>
                      <a:srgbClr val="FF0000"/>
                    </a:solidFill>
                    <a:latin typeface="Arial"/>
                    <a:cs typeface="Arial"/>
                  </a:rPr>
                  <a:t>L000</a:t>
                </a:r>
              </a:p>
            </xdr:txBody>
          </xdr:sp>
          <xdr:grpSp>
            <xdr:nvGrpSpPr>
              <xdr:cNvPr id="41561" name="Group 61"/>
              <xdr:cNvGrpSpPr>
                <a:grpSpLocks/>
              </xdr:cNvGrpSpPr>
            </xdr:nvGrpSpPr>
            <xdr:grpSpPr bwMode="auto">
              <a:xfrm rot="-5400000">
                <a:off x="319" y="717"/>
                <a:ext cx="38" cy="39"/>
                <a:chOff x="314" y="640"/>
                <a:chExt cx="38" cy="39"/>
              </a:xfrm>
            </xdr:grpSpPr>
            <xdr:sp macro="" textlink="">
              <xdr:nvSpPr>
                <xdr:cNvPr id="41562" name="Line 62"/>
                <xdr:cNvSpPr>
                  <a:spLocks noChangeShapeType="1"/>
                </xdr:cNvSpPr>
              </xdr:nvSpPr>
              <xdr:spPr bwMode="auto">
                <a:xfrm flipH="1">
                  <a:off x="324" y="679"/>
                  <a:ext cx="28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1563" name="Line 63"/>
                <xdr:cNvSpPr>
                  <a:spLocks noChangeShapeType="1"/>
                </xdr:cNvSpPr>
              </xdr:nvSpPr>
              <xdr:spPr bwMode="auto">
                <a:xfrm>
                  <a:off x="324" y="640"/>
                  <a:ext cx="0" cy="38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1564" name="AutoShape 64"/>
                <xdr:cNvSpPr>
                  <a:spLocks noChangeArrowheads="1"/>
                </xdr:cNvSpPr>
              </xdr:nvSpPr>
              <xdr:spPr bwMode="auto">
                <a:xfrm rot="10800000">
                  <a:off x="314" y="640"/>
                  <a:ext cx="19" cy="16"/>
                </a:xfrm>
                <a:prstGeom prst="triangle">
                  <a:avLst>
                    <a:gd name="adj" fmla="val 47912"/>
                  </a:avLst>
                </a:prstGeom>
                <a:solidFill>
                  <a:srgbClr xmlns:mc="http://schemas.openxmlformats.org/markup-compatibility/2006" xmlns:a14="http://schemas.microsoft.com/office/drawing/2010/main" val="FFFF00" mc:Ignorable="a14" a14:legacySpreadsheetColorIndex="13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</xdr:grpSp>
        </xdr:grpSp>
        <xdr:grpSp>
          <xdr:nvGrpSpPr>
            <xdr:cNvPr id="41553" name="Group 65"/>
            <xdr:cNvGrpSpPr>
              <a:grpSpLocks/>
            </xdr:cNvGrpSpPr>
          </xdr:nvGrpSpPr>
          <xdr:grpSpPr bwMode="auto">
            <a:xfrm>
              <a:off x="362174" y="2471703"/>
              <a:ext cx="522361" cy="515054"/>
              <a:chOff x="116" y="698"/>
              <a:chExt cx="74" cy="62"/>
            </a:xfrm>
          </xdr:grpSpPr>
          <xdr:sp macro="" textlink="">
            <xdr:nvSpPr>
              <xdr:cNvPr id="43" name="Text Box 66">
                <a:extLst/>
              </xdr:cNvPr>
              <xdr:cNvSpPr txBox="1">
                <a:spLocks noChangeArrowheads="1"/>
              </xdr:cNvSpPr>
            </xdr:nvSpPr>
            <xdr:spPr bwMode="auto">
              <a:xfrm>
                <a:off x="115" y="739"/>
                <a:ext cx="60" cy="22"/>
              </a:xfrm>
              <a:prstGeom prst="rect">
                <a:avLst/>
              </a:prstGeom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  <a:ln w="9525">
                <a:solidFill>
                  <a:srgbClr val="FF0000"/>
                </a:solidFill>
                <a:miter lim="800000"/>
                <a:headEnd/>
                <a:tailEnd/>
              </a:ln>
            </xdr:spPr>
            <xdr:txBody>
              <a:bodyPr vertOverflow="clip" wrap="square" lIns="36576" tIns="27432" rIns="36576" bIns="27432" anchor="ctr" upright="1"/>
              <a:lstStyle/>
              <a:p>
                <a:pPr algn="ctr" rtl="0">
                  <a:defRPr sz="1000"/>
                </a:pPr>
                <a:r>
                  <a:rPr lang="en-US" sz="800" b="0" i="0" u="none" strike="noStrike" baseline="0">
                    <a:solidFill>
                      <a:srgbClr val="FF0000"/>
                    </a:solidFill>
                    <a:latin typeface="Arial"/>
                    <a:cs typeface="Arial"/>
                  </a:rPr>
                  <a:t>J000</a:t>
                </a:r>
              </a:p>
            </xdr:txBody>
          </xdr:sp>
          <xdr:grpSp>
            <xdr:nvGrpSpPr>
              <xdr:cNvPr id="41556" name="Group 67"/>
              <xdr:cNvGrpSpPr>
                <a:grpSpLocks/>
              </xdr:cNvGrpSpPr>
            </xdr:nvGrpSpPr>
            <xdr:grpSpPr bwMode="auto">
              <a:xfrm rot="5400000">
                <a:off x="152" y="697"/>
                <a:ext cx="38" cy="39"/>
                <a:chOff x="314" y="640"/>
                <a:chExt cx="38" cy="39"/>
              </a:xfrm>
            </xdr:grpSpPr>
            <xdr:sp macro="" textlink="">
              <xdr:nvSpPr>
                <xdr:cNvPr id="41557" name="Line 68"/>
                <xdr:cNvSpPr>
                  <a:spLocks noChangeShapeType="1"/>
                </xdr:cNvSpPr>
              </xdr:nvSpPr>
              <xdr:spPr bwMode="auto">
                <a:xfrm flipH="1">
                  <a:off x="324" y="679"/>
                  <a:ext cx="28" cy="0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1558" name="Line 69"/>
                <xdr:cNvSpPr>
                  <a:spLocks noChangeShapeType="1"/>
                </xdr:cNvSpPr>
              </xdr:nvSpPr>
              <xdr:spPr bwMode="auto">
                <a:xfrm>
                  <a:off x="324" y="640"/>
                  <a:ext cx="0" cy="38"/>
                </a:xfrm>
                <a:prstGeom prst="line">
                  <a:avLst/>
                </a:prstGeom>
                <a:noFill/>
                <a:ln w="19050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sp>
            <xdr:sp macro="" textlink="">
              <xdr:nvSpPr>
                <xdr:cNvPr id="41559" name="AutoShape 70"/>
                <xdr:cNvSpPr>
                  <a:spLocks noChangeArrowheads="1"/>
                </xdr:cNvSpPr>
              </xdr:nvSpPr>
              <xdr:spPr bwMode="auto">
                <a:xfrm rot="10800000">
                  <a:off x="314" y="640"/>
                  <a:ext cx="19" cy="16"/>
                </a:xfrm>
                <a:prstGeom prst="triangle">
                  <a:avLst>
                    <a:gd name="adj" fmla="val 47912"/>
                  </a:avLst>
                </a:prstGeom>
                <a:solidFill>
                  <a:srgbClr xmlns:mc="http://schemas.openxmlformats.org/markup-compatibility/2006" xmlns:a14="http://schemas.microsoft.com/office/drawing/2010/main" val="FFFF00" mc:Ignorable="a14" a14:legacySpreadsheetColorIndex="13"/>
                </a:solidFill>
                <a:ln w="9525">
                  <a:solidFill>
                    <a:srgbClr xmlns:mc="http://schemas.openxmlformats.org/markup-compatibility/2006" xmlns:a14="http://schemas.microsoft.com/office/drawing/2010/main" val="000000" mc:Ignorable="a14" a14:legacySpreadsheetColorIndex="64"/>
                  </a:solidFill>
                  <a:miter lim="800000"/>
                  <a:headEnd/>
                  <a:tailEnd/>
                </a:ln>
              </xdr:spPr>
            </xdr:sp>
          </xdr:grpSp>
        </xdr:grpSp>
        <xdr:pic>
          <xdr:nvPicPr>
            <xdr:cNvPr id="41554" name="Picture 95"/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clrChange>
                <a:clrFrom>
                  <a:srgbClr val="DFE3EA"/>
                </a:clrFrom>
                <a:clrTo>
                  <a:srgbClr val="DFE3E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-5400000">
              <a:off x="377899" y="2780563"/>
              <a:ext cx="1607154" cy="117810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</xdr:grpSp>
      <xdr:grpSp>
        <xdr:nvGrpSpPr>
          <xdr:cNvPr id="41525" name="Group 60"/>
          <xdr:cNvGrpSpPr>
            <a:grpSpLocks/>
          </xdr:cNvGrpSpPr>
        </xdr:nvGrpSpPr>
        <xdr:grpSpPr bwMode="auto">
          <a:xfrm>
            <a:off x="2405888" y="2263589"/>
            <a:ext cx="4130871" cy="2263587"/>
            <a:chOff x="4945859" y="1906628"/>
            <a:chExt cx="6213798" cy="3404964"/>
          </a:xfrm>
        </xdr:grpSpPr>
        <xdr:pic>
          <xdr:nvPicPr>
            <xdr:cNvPr id="41542" name="Picture 77"/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clrChange>
                <a:clrFrom>
                  <a:srgbClr val="DFE3EA"/>
                </a:clrFrom>
                <a:clrTo>
                  <a:srgbClr val="DFE3E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-5400000">
              <a:off x="4928802" y="2220423"/>
              <a:ext cx="3248156" cy="293418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31" name="TextBox 30">
              <a:extLst/>
            </xdr:cNvPr>
            <xdr:cNvSpPr txBox="1"/>
          </xdr:nvSpPr>
          <xdr:spPr>
            <a:xfrm>
              <a:off x="4944565" y="2238752"/>
              <a:ext cx="429570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J163</a:t>
              </a:r>
            </a:p>
          </xdr:txBody>
        </xdr:sp>
        <xdr:pic>
          <xdr:nvPicPr>
            <xdr:cNvPr id="41544" name="Picture 79"/>
            <xdr:cNvPicPr>
              <a:picLocks noChangeAspect="1"/>
            </xdr:cNvPicPr>
          </xdr:nvPicPr>
          <xdr:blipFill>
            <a:blip xmlns:r="http://schemas.openxmlformats.org/officeDocument/2006/relationships" r:embed="rId6" cstate="print">
              <a:clrChange>
                <a:clrFrom>
                  <a:srgbClr val="DFE3EA"/>
                </a:clrFrom>
                <a:clrTo>
                  <a:srgbClr val="DFE3E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5400000">
              <a:off x="7994936" y="2089134"/>
              <a:ext cx="3347228" cy="298221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33" name="TextBox 32">
              <a:extLst/>
            </xdr:cNvPr>
            <xdr:cNvSpPr txBox="1"/>
          </xdr:nvSpPr>
          <xdr:spPr>
            <a:xfrm>
              <a:off x="7599089" y="2273775"/>
              <a:ext cx="429570" cy="280185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J164</a:t>
              </a:r>
            </a:p>
          </xdr:txBody>
        </xdr:sp>
        <xdr:sp macro="" textlink="">
          <xdr:nvSpPr>
            <xdr:cNvPr id="34" name="TextBox 33">
              <a:extLst/>
            </xdr:cNvPr>
            <xdr:cNvSpPr txBox="1"/>
          </xdr:nvSpPr>
          <xdr:spPr>
            <a:xfrm>
              <a:off x="6651832" y="3849819"/>
              <a:ext cx="407541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J151</a:t>
              </a:r>
            </a:p>
          </xdr:txBody>
        </xdr:sp>
        <xdr:sp macro="" textlink="">
          <xdr:nvSpPr>
            <xdr:cNvPr id="35" name="TextBox 34">
              <a:extLst/>
            </xdr:cNvPr>
            <xdr:cNvSpPr txBox="1"/>
          </xdr:nvSpPr>
          <xdr:spPr>
            <a:xfrm>
              <a:off x="7808367" y="3884842"/>
              <a:ext cx="429570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J152</a:t>
              </a:r>
            </a:p>
          </xdr:txBody>
        </xdr:sp>
        <xdr:sp macro="" textlink="">
          <xdr:nvSpPr>
            <xdr:cNvPr id="36" name="TextBox 35">
              <a:extLst/>
            </xdr:cNvPr>
            <xdr:cNvSpPr txBox="1"/>
          </xdr:nvSpPr>
          <xdr:spPr>
            <a:xfrm>
              <a:off x="7951557" y="2273775"/>
              <a:ext cx="440585" cy="280185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L164</a:t>
              </a:r>
            </a:p>
          </xdr:txBody>
        </xdr:sp>
        <xdr:sp macro="" textlink="">
          <xdr:nvSpPr>
            <xdr:cNvPr id="37" name="TextBox 36">
              <a:extLst/>
            </xdr:cNvPr>
            <xdr:cNvSpPr txBox="1"/>
          </xdr:nvSpPr>
          <xdr:spPr>
            <a:xfrm>
              <a:off x="10165496" y="2238752"/>
              <a:ext cx="440585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L163</a:t>
              </a:r>
            </a:p>
          </xdr:txBody>
        </xdr:sp>
        <xdr:sp macro="" textlink="">
          <xdr:nvSpPr>
            <xdr:cNvPr id="38" name="TextBox 37">
              <a:extLst/>
            </xdr:cNvPr>
            <xdr:cNvSpPr txBox="1"/>
          </xdr:nvSpPr>
          <xdr:spPr>
            <a:xfrm>
              <a:off x="8083733" y="3884842"/>
              <a:ext cx="451600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L152</a:t>
              </a:r>
            </a:p>
          </xdr:txBody>
        </xdr:sp>
        <xdr:sp macro="" textlink="">
          <xdr:nvSpPr>
            <xdr:cNvPr id="39" name="TextBox 38">
              <a:extLst/>
            </xdr:cNvPr>
            <xdr:cNvSpPr txBox="1"/>
          </xdr:nvSpPr>
          <xdr:spPr>
            <a:xfrm>
              <a:off x="10143467" y="3791447"/>
              <a:ext cx="418556" cy="280185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L151</a:t>
              </a:r>
            </a:p>
          </xdr:txBody>
        </xdr:sp>
      </xdr:grpSp>
      <xdr:grpSp>
        <xdr:nvGrpSpPr>
          <xdr:cNvPr id="41526" name="Group 61"/>
          <xdr:cNvGrpSpPr>
            <a:grpSpLocks/>
          </xdr:cNvGrpSpPr>
        </xdr:nvGrpSpPr>
        <xdr:grpSpPr bwMode="auto">
          <a:xfrm>
            <a:off x="6689911" y="3958976"/>
            <a:ext cx="5043868" cy="1730708"/>
            <a:chOff x="3882839" y="2150839"/>
            <a:chExt cx="8248303" cy="2603391"/>
          </a:xfrm>
        </xdr:grpSpPr>
        <xdr:pic>
          <xdr:nvPicPr>
            <xdr:cNvPr id="41535" name="Picture 70"/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clrChange>
                <a:clrFrom>
                  <a:srgbClr val="F5FBFF"/>
                </a:clrFrom>
                <a:clrTo>
                  <a:srgbClr val="F5FB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-5400000">
              <a:off x="8998711" y="1590847"/>
              <a:ext cx="2498906" cy="3765956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pic>
          <xdr:nvPicPr>
            <xdr:cNvPr id="41536" name="Picture 71"/>
            <xdr:cNvPicPr>
              <a:picLocks noChangeAspect="1"/>
            </xdr:cNvPicPr>
          </xdr:nvPicPr>
          <xdr:blipFill>
            <a:blip xmlns:r="http://schemas.openxmlformats.org/officeDocument/2006/relationships" r:embed="rId8" cstate="print">
              <a:clrChange>
                <a:clrFrom>
                  <a:srgbClr val="DFE3EA"/>
                </a:clrFrom>
                <a:clrTo>
                  <a:srgbClr val="DFE3EA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 rot="10800000">
              <a:off x="3882839" y="2221708"/>
              <a:ext cx="3725956" cy="2532522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25" name="TextBox 24">
              <a:extLst/>
            </xdr:cNvPr>
            <xdr:cNvSpPr txBox="1"/>
          </xdr:nvSpPr>
          <xdr:spPr>
            <a:xfrm>
              <a:off x="6251695" y="3108140"/>
              <a:ext cx="538850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K304</a:t>
              </a:r>
            </a:p>
          </xdr:txBody>
        </xdr:sp>
        <xdr:sp macro="" textlink="">
          <xdr:nvSpPr>
            <xdr:cNvPr id="26" name="TextBox 25">
              <a:extLst/>
            </xdr:cNvPr>
            <xdr:cNvSpPr txBox="1"/>
          </xdr:nvSpPr>
          <xdr:spPr>
            <a:xfrm>
              <a:off x="4204067" y="2372653"/>
              <a:ext cx="538850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K305</a:t>
              </a:r>
            </a:p>
          </xdr:txBody>
        </xdr:sp>
        <xdr:sp macro="" textlink="">
          <xdr:nvSpPr>
            <xdr:cNvPr id="27" name="TextBox 26">
              <a:extLst/>
            </xdr:cNvPr>
            <xdr:cNvSpPr txBox="1"/>
          </xdr:nvSpPr>
          <xdr:spPr>
            <a:xfrm>
              <a:off x="9652434" y="4088789"/>
              <a:ext cx="502926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K401</a:t>
              </a:r>
            </a:p>
          </xdr:txBody>
        </xdr:sp>
        <xdr:sp macro="" textlink="">
          <xdr:nvSpPr>
            <xdr:cNvPr id="28" name="TextBox 27">
              <a:extLst/>
            </xdr:cNvPr>
            <xdr:cNvSpPr txBox="1"/>
          </xdr:nvSpPr>
          <xdr:spPr>
            <a:xfrm>
              <a:off x="9580588" y="2185862"/>
              <a:ext cx="526875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K402</a:t>
              </a:r>
            </a:p>
          </xdr:txBody>
        </xdr:sp>
        <xdr:sp macro="" textlink="">
          <xdr:nvSpPr>
            <xdr:cNvPr id="29" name="TextBox 28">
              <a:extLst/>
            </xdr:cNvPr>
            <xdr:cNvSpPr txBox="1"/>
          </xdr:nvSpPr>
          <xdr:spPr>
            <a:xfrm>
              <a:off x="10861852" y="2150839"/>
              <a:ext cx="526875" cy="291860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K403</a:t>
              </a:r>
            </a:p>
          </xdr:txBody>
        </xdr:sp>
      </xdr:grpSp>
      <xdr:grpSp>
        <xdr:nvGrpSpPr>
          <xdr:cNvPr id="41527" name="Group 62"/>
          <xdr:cNvGrpSpPr>
            <a:grpSpLocks/>
          </xdr:cNvGrpSpPr>
        </xdr:nvGrpSpPr>
        <xdr:grpSpPr bwMode="auto">
          <a:xfrm>
            <a:off x="6678706" y="2173941"/>
            <a:ext cx="2660334" cy="1815353"/>
            <a:chOff x="9659471" y="2196353"/>
            <a:chExt cx="2660334" cy="1815353"/>
          </a:xfrm>
        </xdr:grpSpPr>
        <xdr:pic>
          <xdr:nvPicPr>
            <xdr:cNvPr id="41530" name="Picture 65"/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clrChange>
                <a:clrFrom>
                  <a:srgbClr val="FBFDFF"/>
                </a:clrFrom>
                <a:clrTo>
                  <a:srgbClr val="FBFDFF">
                    <a:alpha val="0"/>
                  </a:srgbClr>
                </a:clrTo>
              </a:clrChang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111" t="2876" r="24" b="-429"/>
            <a:stretch>
              <a:fillRect/>
            </a:stretch>
          </xdr:blipFill>
          <xdr:spPr bwMode="auto">
            <a:xfrm>
              <a:off x="9659471" y="2196353"/>
              <a:ext cx="2498911" cy="1815353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sp macro="" textlink="">
          <xdr:nvSpPr>
            <xdr:cNvPr id="19" name="TextBox 18">
              <a:extLst/>
            </xdr:cNvPr>
            <xdr:cNvSpPr txBox="1"/>
          </xdr:nvSpPr>
          <xdr:spPr>
            <a:xfrm>
              <a:off x="10782410" y="3057826"/>
              <a:ext cx="410055" cy="232831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K301</a:t>
              </a:r>
            </a:p>
          </xdr:txBody>
        </xdr:sp>
        <xdr:sp macro="" textlink="">
          <xdr:nvSpPr>
            <xdr:cNvPr id="20" name="TextBox 19">
              <a:extLst/>
            </xdr:cNvPr>
            <xdr:cNvSpPr txBox="1"/>
          </xdr:nvSpPr>
          <xdr:spPr>
            <a:xfrm>
              <a:off x="11910061" y="3057826"/>
              <a:ext cx="410055" cy="232831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K302</a:t>
              </a:r>
            </a:p>
          </xdr:txBody>
        </xdr:sp>
        <xdr:sp macro="" textlink="">
          <xdr:nvSpPr>
            <xdr:cNvPr id="21" name="TextBox 20">
              <a:extLst/>
            </xdr:cNvPr>
            <xdr:cNvSpPr txBox="1"/>
          </xdr:nvSpPr>
          <xdr:spPr>
            <a:xfrm>
              <a:off x="11338913" y="3057826"/>
              <a:ext cx="432022" cy="240592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K303</a:t>
              </a:r>
            </a:p>
          </xdr:txBody>
        </xdr:sp>
        <xdr:sp macro="" textlink="">
          <xdr:nvSpPr>
            <xdr:cNvPr id="22" name="TextBox 21">
              <a:extLst/>
            </xdr:cNvPr>
            <xdr:cNvSpPr txBox="1"/>
          </xdr:nvSpPr>
          <xdr:spPr>
            <a:xfrm>
              <a:off x="11375525" y="2413662"/>
              <a:ext cx="432022" cy="232831"/>
            </a:xfrm>
            <a:prstGeom prst="rect">
              <a:avLst/>
            </a:prstGeom>
            <a:solidFill>
              <a:schemeClr val="bg1"/>
            </a:solidFill>
            <a:ln>
              <a:solidFill>
                <a:srgbClr val="FF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r>
                <a:rPr lang="en-ID" sz="900">
                  <a:solidFill>
                    <a:srgbClr val="FF0000"/>
                  </a:solidFill>
                </a:rPr>
                <a:t>K300</a:t>
              </a:r>
            </a:p>
          </xdr:txBody>
        </xdr:sp>
      </xdr:grpSp>
      <xdr:sp macro="" textlink="">
        <xdr:nvSpPr>
          <xdr:cNvPr id="16" name="TextBox 15">
            <a:extLst/>
          </xdr:cNvPr>
          <xdr:cNvSpPr txBox="1"/>
        </xdr:nvSpPr>
        <xdr:spPr>
          <a:xfrm>
            <a:off x="4821424" y="4447920"/>
            <a:ext cx="292896" cy="194026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ID" sz="900">
                <a:solidFill>
                  <a:srgbClr val="FF0000"/>
                </a:solidFill>
              </a:rPr>
              <a:t>L154</a:t>
            </a:r>
          </a:p>
        </xdr:txBody>
      </xdr:sp>
      <xdr:sp macro="" textlink="">
        <xdr:nvSpPr>
          <xdr:cNvPr id="17" name="TextBox 16">
            <a:extLst/>
          </xdr:cNvPr>
          <xdr:cNvSpPr txBox="1"/>
        </xdr:nvSpPr>
        <xdr:spPr>
          <a:xfrm>
            <a:off x="5787982" y="4447920"/>
            <a:ext cx="292896" cy="194026"/>
          </a:xfrm>
          <a:prstGeom prst="rect">
            <a:avLst/>
          </a:prstGeom>
          <a:solidFill>
            <a:schemeClr val="bg1"/>
          </a:solidFill>
          <a:ln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en-ID" sz="900">
                <a:solidFill>
                  <a:srgbClr val="FF0000"/>
                </a:solidFill>
              </a:rPr>
              <a:t>L153</a:t>
            </a:r>
          </a:p>
        </xdr:txBody>
      </xdr:sp>
    </xdr:grpSp>
    <xdr:clientData/>
  </xdr:twoCellAnchor>
  <xdr:twoCellAnchor>
    <xdr:from>
      <xdr:col>21</xdr:col>
      <xdr:colOff>0</xdr:colOff>
      <xdr:row>71</xdr:row>
      <xdr:rowOff>0</xdr:rowOff>
    </xdr:from>
    <xdr:to>
      <xdr:col>25</xdr:col>
      <xdr:colOff>38100</xdr:colOff>
      <xdr:row>71</xdr:row>
      <xdr:rowOff>0</xdr:rowOff>
    </xdr:to>
    <xdr:grpSp>
      <xdr:nvGrpSpPr>
        <xdr:cNvPr id="41518" name="Group 198"/>
        <xdr:cNvGrpSpPr>
          <a:grpSpLocks/>
        </xdr:cNvGrpSpPr>
      </xdr:nvGrpSpPr>
      <xdr:grpSpPr bwMode="auto">
        <a:xfrm>
          <a:off x="9075420" y="13891260"/>
          <a:ext cx="3360420" cy="0"/>
          <a:chOff x="8774206" y="15811500"/>
          <a:chExt cx="3086357" cy="1492487"/>
        </a:xfrm>
      </xdr:grpSpPr>
      <xdr:pic>
        <xdr:nvPicPr>
          <xdr:cNvPr id="41521" name="Picture 199"/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984442" y="16248529"/>
            <a:ext cx="833592" cy="8449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522" name="Picture 200"/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20589"/>
          <a:stretch>
            <a:fillRect/>
          </a:stretch>
        </xdr:blipFill>
        <xdr:spPr bwMode="auto">
          <a:xfrm>
            <a:off x="8774206" y="15811500"/>
            <a:ext cx="1523437" cy="149248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41523" name="Picture 201"/>
          <xdr:cNvPicPr>
            <a:picLocks noChangeAspect="1"/>
          </xdr:cNvPicPr>
        </xdr:nvPicPr>
        <xdr:blipFill>
          <a:blip xmlns:r="http://schemas.openxmlformats.org/officeDocument/2006/relationships" r:embed="rId12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90413" y="16416618"/>
            <a:ext cx="1170150" cy="64808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12</xdr:col>
      <xdr:colOff>153297</xdr:colOff>
      <xdr:row>71</xdr:row>
      <xdr:rowOff>0</xdr:rowOff>
    </xdr:from>
    <xdr:to>
      <xdr:col>13</xdr:col>
      <xdr:colOff>185954</xdr:colOff>
      <xdr:row>71</xdr:row>
      <xdr:rowOff>0</xdr:rowOff>
    </xdr:to>
    <xdr:sp macro="" textlink="">
      <xdr:nvSpPr>
        <xdr:cNvPr id="57" name="TextBox 56"/>
        <xdr:cNvSpPr txBox="1"/>
      </xdr:nvSpPr>
      <xdr:spPr>
        <a:xfrm>
          <a:off x="3974727" y="14020800"/>
          <a:ext cx="318407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01</a:t>
          </a:r>
        </a:p>
      </xdr:txBody>
    </xdr:sp>
    <xdr:clientData/>
  </xdr:twoCellAnchor>
  <xdr:twoCellAnchor editAs="oneCell">
    <xdr:from>
      <xdr:col>22</xdr:col>
      <xdr:colOff>419100</xdr:colOff>
      <xdr:row>180</xdr:row>
      <xdr:rowOff>167640</xdr:rowOff>
    </xdr:from>
    <xdr:to>
      <xdr:col>26</xdr:col>
      <xdr:colOff>7620</xdr:colOff>
      <xdr:row>187</xdr:row>
      <xdr:rowOff>182880</xdr:rowOff>
    </xdr:to>
    <xdr:pic>
      <xdr:nvPicPr>
        <xdr:cNvPr id="41520" name="Picture 1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5100" y="30152340"/>
          <a:ext cx="2910840" cy="1348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-CMM/Template%20DSQCL%202012/KZRA%202013/CYL%20HEAD%20KZRA%20NT%20%20WSIRD%20QCL%20N%20(NEW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10555n722\01%20CYL%20COMP\AHM\Cylinder%20Comp%20P3\0.%20MASTER%20LIST\New%20FORMAT%20DOCUMENT%20ISO\02.%20WSIRD%20OPR\01.%20WSIRD%20-%20Mast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\2024%20zeiss%20g2%20pdf\Data-CMM\Template%20DSQCL%202012\KZRA%202013\CYL%20HEAD%20KZRA%20NT%20%20WSIRD%20QCL%20N%20(NEW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Importer"/>
      <sheetName val="Form"/>
      <sheetName val="NT(6)"/>
      <sheetName val="NT(5)"/>
      <sheetName val="NT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CONTOH WSIRD OPR LBR 1 NON KP"/>
      <sheetName val="CONTOH WSIRD OPR 2 NON KP 100%"/>
      <sheetName val="CONTOH WSIRD OPR LBR KP"/>
      <sheetName val="CONTOH WSIRD QCL LBR 1 NON KP"/>
      <sheetName val="CONTOH WSIRD QCL LBR 2 NON KP"/>
      <sheetName val="CONTOH WSIRD QCL LBR KP "/>
    </sheetNames>
    <sheetDataSet>
      <sheetData sheetId="0" refreshError="1"/>
      <sheetData sheetId="1" refreshError="1">
        <row r="90">
          <cell r="B90" t="str">
            <v>CM-PEB-001-01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Importer"/>
      <sheetName val="Form"/>
      <sheetName val="NT(6)"/>
      <sheetName val="NT(5)"/>
      <sheetName val="NT(2)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-0.249977111117893"/>
    <pageSetUpPr fitToPage="1"/>
  </sheetPr>
  <dimension ref="A1:AP200"/>
  <sheetViews>
    <sheetView showGridLines="0" tabSelected="1" zoomScale="41" zoomScaleNormal="37" zoomScaleSheetLayoutView="85" workbookViewId="0">
      <selection activeCell="I2" sqref="I2:W4"/>
    </sheetView>
  </sheetViews>
  <sheetFormatPr defaultColWidth="9.109375" defaultRowHeight="13.2"/>
  <cols>
    <col min="1" max="1" width="1" style="3" customWidth="1"/>
    <col min="2" max="2" width="5.33203125" style="3" customWidth="1"/>
    <col min="3" max="5" width="4.6640625" style="3" customWidth="1"/>
    <col min="6" max="6" width="6.44140625" style="3" customWidth="1"/>
    <col min="7" max="7" width="5.33203125" style="3" customWidth="1"/>
    <col min="8" max="8" width="2.88671875" style="3" customWidth="1"/>
    <col min="9" max="9" width="6.5546875" style="3" customWidth="1"/>
    <col min="10" max="10" width="6.44140625" style="3" customWidth="1"/>
    <col min="11" max="12" width="4.6640625" style="3" customWidth="1"/>
    <col min="13" max="14" width="4.33203125" style="3" customWidth="1"/>
    <col min="15" max="16" width="2.88671875" style="3" customWidth="1"/>
    <col min="17" max="26" width="12.109375" style="146" customWidth="1"/>
    <col min="27" max="32" width="8.88671875" style="3" customWidth="1"/>
    <col min="33" max="39" width="10.44140625" style="3" bestFit="1" customWidth="1"/>
    <col min="40" max="16384" width="9.109375" style="3"/>
  </cols>
  <sheetData>
    <row r="1" spans="2:31" ht="2.1" customHeight="1" thickBot="1">
      <c r="Y1" s="53"/>
      <c r="Z1" s="3"/>
    </row>
    <row r="2" spans="2:31" ht="15.9" customHeight="1" thickTop="1">
      <c r="B2" s="4"/>
      <c r="C2" s="5"/>
      <c r="D2" s="5"/>
      <c r="E2" s="5"/>
      <c r="F2" s="5"/>
      <c r="G2" s="1"/>
      <c r="H2" s="1"/>
      <c r="I2" s="219" t="s">
        <v>41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1"/>
      <c r="X2" s="6" t="s">
        <v>1</v>
      </c>
      <c r="Y2" s="7"/>
      <c r="Z2" s="8"/>
    </row>
    <row r="3" spans="2:31" ht="15.9" customHeight="1">
      <c r="B3" s="9"/>
      <c r="C3" s="10"/>
      <c r="D3" s="10"/>
      <c r="E3" s="10"/>
      <c r="F3" s="10"/>
      <c r="G3" s="11"/>
      <c r="H3" s="11"/>
      <c r="I3" s="222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4"/>
      <c r="X3" s="12" t="s">
        <v>2</v>
      </c>
      <c r="Y3" s="13"/>
      <c r="Z3" s="14"/>
    </row>
    <row r="4" spans="2:31" ht="15.9" customHeight="1" thickBot="1">
      <c r="B4" s="412"/>
      <c r="C4" s="413"/>
      <c r="D4" s="413"/>
      <c r="E4" s="413"/>
      <c r="F4" s="413"/>
      <c r="G4" s="413"/>
      <c r="H4" s="15"/>
      <c r="I4" s="225"/>
      <c r="J4" s="226"/>
      <c r="K4" s="226"/>
      <c r="L4" s="226"/>
      <c r="M4" s="226"/>
      <c r="N4" s="226"/>
      <c r="O4" s="226"/>
      <c r="P4" s="226"/>
      <c r="Q4" s="226"/>
      <c r="R4" s="226"/>
      <c r="S4" s="226"/>
      <c r="T4" s="226"/>
      <c r="U4" s="226"/>
      <c r="V4" s="226"/>
      <c r="W4" s="227"/>
      <c r="X4" s="16" t="s">
        <v>9</v>
      </c>
      <c r="Y4" s="17"/>
      <c r="Z4" s="147" t="s">
        <v>64</v>
      </c>
    </row>
    <row r="5" spans="2:31" ht="15.9" customHeight="1" thickTop="1" thickBot="1">
      <c r="B5" s="18" t="s">
        <v>3</v>
      </c>
      <c r="C5" s="19"/>
      <c r="D5" s="19"/>
      <c r="E5" s="20" t="s">
        <v>12</v>
      </c>
      <c r="F5" s="21" t="s">
        <v>65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31" t="s">
        <v>6</v>
      </c>
      <c r="V5" s="232"/>
      <c r="W5" s="22"/>
      <c r="X5" s="23" t="s">
        <v>66</v>
      </c>
      <c r="Y5" s="23" t="s">
        <v>67</v>
      </c>
      <c r="Z5" s="62" t="s">
        <v>68</v>
      </c>
      <c r="AB5" s="205"/>
      <c r="AC5" s="205"/>
      <c r="AD5" s="205"/>
    </row>
    <row r="6" spans="2:31" ht="15.9" customHeight="1" thickTop="1" thickBot="1">
      <c r="B6" s="24" t="s">
        <v>4</v>
      </c>
      <c r="C6" s="25"/>
      <c r="D6" s="25"/>
      <c r="E6" s="26" t="s">
        <v>12</v>
      </c>
      <c r="F6" s="27" t="s">
        <v>69</v>
      </c>
      <c r="G6" s="28"/>
      <c r="H6" s="28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33"/>
      <c r="V6" s="234"/>
      <c r="W6" s="23" t="s">
        <v>6</v>
      </c>
      <c r="X6" s="29"/>
      <c r="Y6" s="29"/>
      <c r="Z6" s="116"/>
      <c r="AB6" s="209"/>
      <c r="AC6" s="209"/>
      <c r="AD6" s="209"/>
      <c r="AE6" s="146"/>
    </row>
    <row r="7" spans="2:31" ht="15.9" customHeight="1" thickTop="1">
      <c r="B7" s="24" t="s">
        <v>5</v>
      </c>
      <c r="C7" s="25"/>
      <c r="D7" s="25"/>
      <c r="E7" s="26" t="s">
        <v>12</v>
      </c>
      <c r="F7" s="27" t="s">
        <v>70</v>
      </c>
      <c r="G7" s="28"/>
      <c r="H7" s="28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28"/>
      <c r="V7" s="235"/>
      <c r="W7" s="228" t="s">
        <v>11</v>
      </c>
      <c r="X7" s="32"/>
      <c r="Y7" s="34"/>
      <c r="Z7" s="148"/>
      <c r="AB7" s="212"/>
      <c r="AC7" s="212"/>
      <c r="AD7" s="212"/>
      <c r="AE7" s="146"/>
    </row>
    <row r="8" spans="2:31" ht="15.9" customHeight="1">
      <c r="B8" s="24" t="s">
        <v>42</v>
      </c>
      <c r="C8" s="25"/>
      <c r="D8" s="25"/>
      <c r="E8" s="26" t="s">
        <v>12</v>
      </c>
      <c r="F8" s="27" t="s">
        <v>71</v>
      </c>
      <c r="G8" s="28"/>
      <c r="H8" s="28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29"/>
      <c r="V8" s="236"/>
      <c r="W8" s="229"/>
      <c r="X8" s="35"/>
      <c r="Y8" s="34"/>
      <c r="Z8" s="148"/>
      <c r="AB8" s="212"/>
      <c r="AC8" s="212"/>
      <c r="AD8" s="212"/>
      <c r="AE8" s="146"/>
    </row>
    <row r="9" spans="2:31" ht="15.9" customHeight="1">
      <c r="B9" s="36" t="s">
        <v>0</v>
      </c>
      <c r="C9" s="25"/>
      <c r="D9" s="25"/>
      <c r="E9" s="26" t="s">
        <v>12</v>
      </c>
      <c r="F9" s="27" t="s">
        <v>72</v>
      </c>
      <c r="G9" s="28"/>
      <c r="H9" s="28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29"/>
      <c r="V9" s="236"/>
      <c r="W9" s="229"/>
      <c r="X9" s="32"/>
      <c r="Y9" s="34"/>
      <c r="Z9" s="148"/>
      <c r="AB9" s="212"/>
      <c r="AC9" s="212"/>
      <c r="AD9" s="212"/>
      <c r="AE9" s="146"/>
    </row>
    <row r="10" spans="2:31" ht="15.9" customHeight="1" thickBot="1">
      <c r="B10" s="36" t="s">
        <v>43</v>
      </c>
      <c r="C10" s="25"/>
      <c r="D10" s="25"/>
      <c r="E10" s="26" t="s">
        <v>12</v>
      </c>
      <c r="F10" s="37"/>
      <c r="G10" s="28"/>
      <c r="H10" s="28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29"/>
      <c r="V10" s="236"/>
      <c r="W10" s="230"/>
      <c r="X10" s="35"/>
      <c r="Y10" s="34"/>
      <c r="Z10" s="148"/>
      <c r="AB10" s="212"/>
      <c r="AC10" s="212"/>
      <c r="AD10" s="212"/>
      <c r="AE10" s="146"/>
    </row>
    <row r="11" spans="2:31" ht="15.9" customHeight="1" thickTop="1" thickBot="1">
      <c r="B11" s="38" t="s">
        <v>44</v>
      </c>
      <c r="C11" s="39"/>
      <c r="D11" s="39"/>
      <c r="E11" s="40" t="s">
        <v>12</v>
      </c>
      <c r="F11" s="41"/>
      <c r="G11" s="42"/>
      <c r="H11" s="42"/>
      <c r="I11" s="43"/>
      <c r="J11" s="43"/>
      <c r="K11" s="43"/>
      <c r="L11" s="43"/>
      <c r="M11" s="43"/>
      <c r="N11" s="43"/>
      <c r="O11" s="414" t="s">
        <v>73</v>
      </c>
      <c r="P11" s="414"/>
      <c r="Q11" s="414"/>
      <c r="R11" s="169"/>
      <c r="S11" s="238">
        <f ca="1">NOW()</f>
        <v>46159.588297685186</v>
      </c>
      <c r="T11" s="239"/>
      <c r="U11" s="230"/>
      <c r="V11" s="237"/>
      <c r="W11" s="47" t="s">
        <v>13</v>
      </c>
      <c r="X11" s="47"/>
      <c r="Y11" s="22"/>
      <c r="Z11" s="116"/>
      <c r="AB11" s="209"/>
      <c r="AC11" s="209"/>
      <c r="AD11" s="209"/>
      <c r="AE11" s="146"/>
    </row>
    <row r="12" spans="2:31" ht="15.9" customHeight="1" thickTop="1">
      <c r="B12" s="2" t="s">
        <v>14</v>
      </c>
      <c r="C12" s="33"/>
      <c r="D12" s="33"/>
      <c r="E12" s="48"/>
      <c r="F12" s="49"/>
      <c r="G12" s="50"/>
      <c r="H12" s="50"/>
      <c r="I12" s="33"/>
      <c r="J12" s="33"/>
      <c r="K12" s="33"/>
      <c r="L12" s="33"/>
      <c r="M12" s="33"/>
      <c r="N12" s="33"/>
      <c r="O12" s="33"/>
      <c r="P12" s="33"/>
      <c r="Q12" s="149"/>
      <c r="R12" s="149"/>
      <c r="S12" s="149"/>
      <c r="T12" s="149"/>
      <c r="U12" s="149"/>
      <c r="V12" s="149"/>
      <c r="W12" s="149"/>
      <c r="X12" s="51"/>
      <c r="Y12" s="51"/>
      <c r="Z12" s="52"/>
      <c r="AB12" s="146"/>
      <c r="AC12" s="146"/>
      <c r="AD12" s="146"/>
      <c r="AE12" s="146"/>
    </row>
    <row r="13" spans="2:31" ht="15.9" customHeight="1">
      <c r="B13" s="2"/>
      <c r="C13" s="33"/>
      <c r="D13" s="33"/>
      <c r="E13" s="48"/>
      <c r="F13" s="49"/>
      <c r="G13" s="50"/>
      <c r="H13" s="50"/>
      <c r="I13" s="33"/>
      <c r="J13" s="33"/>
      <c r="K13" s="33"/>
      <c r="L13" s="33"/>
      <c r="M13" s="33"/>
      <c r="N13" s="33"/>
      <c r="O13" s="33"/>
      <c r="P13" s="33"/>
      <c r="Q13" s="149"/>
      <c r="R13" s="149"/>
      <c r="S13" s="149"/>
      <c r="T13" s="149"/>
      <c r="U13" s="149"/>
      <c r="V13" s="149"/>
      <c r="W13" s="149"/>
      <c r="Z13" s="53"/>
      <c r="AB13" s="146"/>
      <c r="AC13" s="146"/>
      <c r="AD13" s="146"/>
      <c r="AE13" s="146"/>
    </row>
    <row r="14" spans="2:31" ht="15.9" customHeight="1">
      <c r="B14" s="2"/>
      <c r="C14" s="33"/>
      <c r="D14" s="33"/>
      <c r="E14" s="48"/>
      <c r="F14" s="49"/>
      <c r="G14" s="50"/>
      <c r="H14" s="50"/>
      <c r="I14" s="33"/>
      <c r="J14" s="33"/>
      <c r="K14" s="33"/>
      <c r="L14" s="33"/>
      <c r="M14" s="33"/>
      <c r="N14" s="33"/>
      <c r="O14" s="33"/>
      <c r="P14" s="33"/>
      <c r="Q14" s="149"/>
      <c r="R14" s="149"/>
      <c r="S14" s="149"/>
      <c r="T14" s="149"/>
      <c r="U14" s="149"/>
      <c r="V14" s="149"/>
      <c r="W14" s="149"/>
      <c r="Z14" s="53"/>
      <c r="AB14" s="146"/>
      <c r="AC14" s="146"/>
      <c r="AD14" s="146"/>
      <c r="AE14" s="146"/>
    </row>
    <row r="15" spans="2:31" ht="15.9" customHeight="1">
      <c r="B15" s="2"/>
      <c r="C15" s="33"/>
      <c r="D15" s="33"/>
      <c r="E15" s="48"/>
      <c r="F15" s="49"/>
      <c r="G15" s="50"/>
      <c r="H15" s="50"/>
      <c r="I15" s="33"/>
      <c r="J15" s="33"/>
      <c r="K15" s="33"/>
      <c r="L15" s="33"/>
      <c r="M15" s="33"/>
      <c r="N15" s="33"/>
      <c r="O15" s="33"/>
      <c r="P15" s="33"/>
      <c r="Q15" s="149"/>
      <c r="R15" s="149"/>
      <c r="S15" s="149"/>
      <c r="T15" s="149"/>
      <c r="U15" s="149"/>
      <c r="V15" s="149"/>
      <c r="W15" s="149"/>
      <c r="Z15" s="53"/>
      <c r="AB15" s="146"/>
      <c r="AC15" s="146"/>
      <c r="AD15" s="146"/>
      <c r="AE15" s="146"/>
    </row>
    <row r="16" spans="2:31" ht="15.9" customHeight="1">
      <c r="B16" s="2"/>
      <c r="C16" s="33"/>
      <c r="D16" s="33"/>
      <c r="E16" s="48"/>
      <c r="F16" s="49"/>
      <c r="G16" s="50"/>
      <c r="H16" s="50"/>
      <c r="I16" s="33"/>
      <c r="J16" s="33"/>
      <c r="K16" s="33"/>
      <c r="L16" s="33"/>
      <c r="M16" s="33"/>
      <c r="N16" s="33"/>
      <c r="O16" s="33"/>
      <c r="P16" s="33"/>
      <c r="Q16" s="149"/>
      <c r="R16" s="149"/>
      <c r="S16" s="149"/>
      <c r="T16" s="149"/>
      <c r="U16" s="149"/>
      <c r="V16" s="149"/>
      <c r="W16" s="149"/>
      <c r="Z16" s="53"/>
      <c r="AB16" s="146"/>
      <c r="AC16" s="146"/>
      <c r="AD16" s="146"/>
      <c r="AE16" s="146"/>
    </row>
    <row r="17" spans="2:31" ht="15.9" customHeight="1">
      <c r="B17" s="2"/>
      <c r="C17" s="33"/>
      <c r="D17" s="33"/>
      <c r="E17" s="48"/>
      <c r="F17" s="49"/>
      <c r="G17" s="50"/>
      <c r="H17" s="50"/>
      <c r="I17" s="33"/>
      <c r="J17" s="33"/>
      <c r="K17" s="33"/>
      <c r="L17" s="33"/>
      <c r="M17" s="33"/>
      <c r="N17" s="33"/>
      <c r="O17" s="33"/>
      <c r="P17" s="33"/>
      <c r="Q17" s="149"/>
      <c r="R17" s="149"/>
      <c r="S17" s="149"/>
      <c r="T17" s="149"/>
      <c r="U17" s="149"/>
      <c r="V17" s="149"/>
      <c r="W17" s="149"/>
      <c r="Z17" s="53"/>
      <c r="AB17" s="146"/>
      <c r="AC17" s="146"/>
      <c r="AD17" s="146"/>
      <c r="AE17" s="146"/>
    </row>
    <row r="18" spans="2:31" ht="15.9" customHeight="1">
      <c r="B18" s="2"/>
      <c r="C18" s="33"/>
      <c r="D18" s="33"/>
      <c r="E18" s="48"/>
      <c r="F18" s="49"/>
      <c r="G18" s="50"/>
      <c r="H18" s="50"/>
      <c r="I18" s="33"/>
      <c r="J18" s="33"/>
      <c r="K18" s="33"/>
      <c r="L18" s="33"/>
      <c r="M18" s="33"/>
      <c r="N18" s="33"/>
      <c r="O18" s="33"/>
      <c r="P18" s="33"/>
      <c r="Q18" s="149"/>
      <c r="R18" s="149"/>
      <c r="S18" s="149"/>
      <c r="T18" s="149"/>
      <c r="U18" s="149"/>
      <c r="V18" s="149"/>
      <c r="W18" s="149"/>
      <c r="Z18" s="53"/>
    </row>
    <row r="19" spans="2:31" ht="15.9" customHeight="1">
      <c r="B19" s="2"/>
      <c r="C19" s="33"/>
      <c r="D19" s="33"/>
      <c r="E19" s="48"/>
      <c r="F19" s="49"/>
      <c r="G19" s="50"/>
      <c r="H19" s="50"/>
      <c r="I19" s="33"/>
      <c r="J19" s="33"/>
      <c r="K19" s="33"/>
      <c r="L19" s="33"/>
      <c r="M19" s="33"/>
      <c r="N19" s="33"/>
      <c r="O19" s="33"/>
      <c r="P19" s="33"/>
      <c r="Q19" s="149"/>
      <c r="R19" s="149"/>
      <c r="S19" s="149"/>
      <c r="T19" s="149"/>
      <c r="U19" s="149"/>
      <c r="V19" s="149"/>
      <c r="W19" s="149"/>
      <c r="Z19" s="53"/>
    </row>
    <row r="20" spans="2:31" ht="15.9" customHeight="1">
      <c r="B20" s="2"/>
      <c r="C20" s="33"/>
      <c r="D20" s="33"/>
      <c r="E20" s="48"/>
      <c r="F20" s="49"/>
      <c r="G20" s="50"/>
      <c r="H20" s="50"/>
      <c r="I20" s="33"/>
      <c r="J20" s="33"/>
      <c r="K20" s="33"/>
      <c r="L20" s="33"/>
      <c r="M20" s="33"/>
      <c r="N20" s="33"/>
      <c r="O20" s="33"/>
      <c r="P20" s="33"/>
      <c r="Q20" s="149"/>
      <c r="R20" s="149"/>
      <c r="S20" s="149"/>
      <c r="T20" s="149"/>
      <c r="U20" s="149"/>
      <c r="V20" s="149"/>
      <c r="W20" s="149"/>
      <c r="Z20" s="53"/>
    </row>
    <row r="21" spans="2:31" ht="15.9" customHeight="1">
      <c r="B21" s="2"/>
      <c r="C21" s="33"/>
      <c r="D21" s="33"/>
      <c r="E21" s="48"/>
      <c r="F21" s="49"/>
      <c r="G21" s="50"/>
      <c r="H21" s="50"/>
      <c r="I21" s="33"/>
      <c r="J21" s="33"/>
      <c r="K21" s="33"/>
      <c r="L21" s="33"/>
      <c r="M21" s="33"/>
      <c r="N21" s="33"/>
      <c r="O21" s="33"/>
      <c r="P21" s="33"/>
      <c r="Q21" s="149"/>
      <c r="R21" s="149"/>
      <c r="S21" s="149"/>
      <c r="T21" s="149"/>
      <c r="U21" s="149"/>
      <c r="V21" s="149"/>
      <c r="W21" s="149"/>
      <c r="Z21" s="53"/>
    </row>
    <row r="22" spans="2:31" ht="15.9" customHeight="1">
      <c r="B22" s="2"/>
      <c r="C22" s="33"/>
      <c r="D22" s="33"/>
      <c r="E22" s="48"/>
      <c r="F22" s="49"/>
      <c r="G22" s="50"/>
      <c r="H22" s="50"/>
      <c r="I22" s="33"/>
      <c r="J22" s="33"/>
      <c r="K22" s="33"/>
      <c r="L22" s="33"/>
      <c r="M22" s="33"/>
      <c r="N22" s="33"/>
      <c r="O22" s="33"/>
      <c r="P22" s="33"/>
      <c r="Q22" s="149"/>
      <c r="R22" s="149"/>
      <c r="S22" s="149"/>
      <c r="T22" s="149"/>
      <c r="U22" s="149"/>
      <c r="V22" s="149"/>
      <c r="W22" s="149"/>
      <c r="Z22" s="53"/>
    </row>
    <row r="23" spans="2:31" ht="15.9" customHeight="1">
      <c r="B23" s="2"/>
      <c r="C23" s="33"/>
      <c r="D23" s="33"/>
      <c r="E23" s="48"/>
      <c r="F23" s="49"/>
      <c r="G23" s="50"/>
      <c r="H23" s="50"/>
      <c r="I23" s="33"/>
      <c r="J23" s="33"/>
      <c r="K23" s="33"/>
      <c r="L23" s="33"/>
      <c r="M23" s="33"/>
      <c r="N23" s="33"/>
      <c r="O23" s="33"/>
      <c r="P23" s="33"/>
      <c r="Q23" s="149"/>
      <c r="R23" s="149"/>
      <c r="S23" s="149"/>
      <c r="T23" s="149"/>
      <c r="U23" s="149"/>
      <c r="V23" s="149"/>
      <c r="W23" s="149"/>
      <c r="Z23" s="53"/>
    </row>
    <row r="24" spans="2:31" ht="15.9" customHeight="1">
      <c r="B24" s="2"/>
      <c r="C24" s="33"/>
      <c r="D24" s="33"/>
      <c r="E24" s="48"/>
      <c r="F24" s="49"/>
      <c r="G24" s="50"/>
      <c r="H24" s="50"/>
      <c r="I24" s="33"/>
      <c r="J24" s="33"/>
      <c r="K24" s="33"/>
      <c r="L24" s="33"/>
      <c r="M24" s="33"/>
      <c r="N24" s="33"/>
      <c r="O24" s="33"/>
      <c r="P24" s="33"/>
      <c r="Q24" s="149"/>
      <c r="R24" s="149"/>
      <c r="S24" s="149"/>
      <c r="T24" s="149"/>
      <c r="U24" s="149"/>
      <c r="V24" s="149"/>
      <c r="W24" s="149"/>
      <c r="Z24" s="53"/>
    </row>
    <row r="25" spans="2:31" ht="15.9" customHeight="1">
      <c r="B25" s="54"/>
      <c r="C25" s="33"/>
      <c r="D25" s="33"/>
      <c r="E25" s="48"/>
      <c r="F25" s="49"/>
      <c r="G25" s="50"/>
      <c r="H25" s="50"/>
      <c r="I25" s="33"/>
      <c r="J25" s="33"/>
      <c r="K25" s="33"/>
      <c r="L25" s="33"/>
      <c r="M25" s="33"/>
      <c r="N25" s="33"/>
      <c r="O25" s="33"/>
      <c r="P25" s="33"/>
      <c r="Q25" s="149"/>
      <c r="R25" s="149"/>
      <c r="S25" s="149"/>
      <c r="T25" s="149"/>
      <c r="U25" s="149"/>
      <c r="V25" s="149"/>
      <c r="W25" s="149"/>
      <c r="Z25" s="53"/>
      <c r="AB25" s="131"/>
    </row>
    <row r="26" spans="2:31" ht="15.9" customHeight="1">
      <c r="B26" s="54"/>
      <c r="C26" s="33"/>
      <c r="D26" s="33"/>
      <c r="E26" s="48"/>
      <c r="F26" s="49"/>
      <c r="G26" s="50"/>
      <c r="H26" s="50"/>
      <c r="I26" s="33"/>
      <c r="J26" s="33"/>
      <c r="K26" s="33"/>
      <c r="L26" s="33"/>
      <c r="M26" s="33"/>
      <c r="N26" s="33"/>
      <c r="O26" s="33"/>
      <c r="P26" s="33"/>
      <c r="Q26" s="149"/>
      <c r="R26" s="149"/>
      <c r="S26" s="149"/>
      <c r="T26" s="149"/>
      <c r="U26" s="149"/>
      <c r="V26" s="149"/>
      <c r="W26" s="149"/>
      <c r="Z26" s="53"/>
    </row>
    <row r="27" spans="2:31" ht="15.9" customHeight="1">
      <c r="B27" s="54"/>
      <c r="C27" s="33"/>
      <c r="D27" s="33"/>
      <c r="E27" s="48"/>
      <c r="F27" s="49"/>
      <c r="G27" s="50"/>
      <c r="H27" s="50"/>
      <c r="I27" s="33"/>
      <c r="J27" s="33"/>
      <c r="K27" s="33"/>
      <c r="L27" s="33"/>
      <c r="M27" s="33"/>
      <c r="N27" s="33"/>
      <c r="O27" s="33"/>
      <c r="P27" s="33"/>
      <c r="Q27" s="149"/>
      <c r="R27" s="149"/>
      <c r="S27" s="149"/>
      <c r="T27" s="149"/>
      <c r="U27" s="149"/>
      <c r="V27" s="149"/>
      <c r="W27" s="149"/>
      <c r="Z27" s="53"/>
    </row>
    <row r="28" spans="2:31" ht="15.9" customHeight="1" thickBot="1">
      <c r="B28" s="54"/>
      <c r="C28" s="33"/>
      <c r="D28" s="33"/>
      <c r="E28" s="48"/>
      <c r="F28" s="49"/>
      <c r="G28" s="50"/>
      <c r="H28" s="50"/>
      <c r="I28" s="33"/>
      <c r="J28" s="33"/>
      <c r="K28" s="33"/>
      <c r="L28" s="33"/>
      <c r="M28" s="33"/>
      <c r="N28" s="33"/>
      <c r="O28" s="33"/>
      <c r="P28" s="33"/>
      <c r="Q28" s="149"/>
      <c r="R28" s="149"/>
      <c r="S28" s="149"/>
      <c r="T28" s="149"/>
      <c r="U28" s="149"/>
      <c r="V28" s="149"/>
      <c r="W28" s="149"/>
      <c r="Z28" s="53"/>
    </row>
    <row r="29" spans="2:31" ht="15.9" customHeight="1" thickTop="1">
      <c r="B29" s="231" t="s">
        <v>47</v>
      </c>
      <c r="C29" s="301"/>
      <c r="D29" s="301"/>
      <c r="E29" s="301"/>
      <c r="F29" s="301"/>
      <c r="G29" s="409" t="s">
        <v>17</v>
      </c>
      <c r="H29" s="55"/>
      <c r="I29" s="411" t="s">
        <v>74</v>
      </c>
      <c r="J29" s="409"/>
      <c r="K29" s="388"/>
      <c r="L29" s="388"/>
      <c r="M29" s="388"/>
      <c r="N29" s="388"/>
      <c r="O29" s="388"/>
      <c r="P29" s="389"/>
      <c r="Q29" s="392"/>
      <c r="Z29" s="53"/>
    </row>
    <row r="30" spans="2:31" ht="15.9" customHeight="1" thickBot="1">
      <c r="B30" s="233"/>
      <c r="C30" s="408"/>
      <c r="D30" s="408"/>
      <c r="E30" s="408"/>
      <c r="F30" s="408"/>
      <c r="G30" s="410"/>
      <c r="H30" s="56"/>
      <c r="I30" s="410"/>
      <c r="J30" s="410"/>
      <c r="K30" s="390"/>
      <c r="L30" s="390"/>
      <c r="M30" s="390"/>
      <c r="N30" s="390"/>
      <c r="O30" s="390"/>
      <c r="P30" s="391"/>
      <c r="Q30" s="392"/>
      <c r="U30" s="149"/>
      <c r="V30" s="149"/>
      <c r="W30" s="149"/>
      <c r="X30" s="149"/>
      <c r="Y30" s="149"/>
      <c r="Z30" s="53"/>
    </row>
    <row r="31" spans="2:31" ht="15.9" customHeight="1" thickTop="1">
      <c r="B31" s="231" t="s">
        <v>19</v>
      </c>
      <c r="C31" s="301"/>
      <c r="D31" s="301"/>
      <c r="E31" s="301"/>
      <c r="F31" s="301"/>
      <c r="G31" s="409" t="s">
        <v>17</v>
      </c>
      <c r="H31" s="55"/>
      <c r="I31" s="411" t="s">
        <v>75</v>
      </c>
      <c r="J31" s="409"/>
      <c r="K31" s="388"/>
      <c r="L31" s="388"/>
      <c r="M31" s="388"/>
      <c r="N31" s="388"/>
      <c r="O31" s="388"/>
      <c r="P31" s="389"/>
      <c r="Q31" s="392"/>
      <c r="Z31" s="53"/>
    </row>
    <row r="32" spans="2:31" ht="15.9" customHeight="1" thickBot="1">
      <c r="B32" s="233"/>
      <c r="C32" s="408"/>
      <c r="D32" s="408"/>
      <c r="E32" s="408"/>
      <c r="F32" s="408"/>
      <c r="G32" s="410"/>
      <c r="H32" s="56"/>
      <c r="I32" s="410"/>
      <c r="J32" s="410"/>
      <c r="K32" s="390"/>
      <c r="L32" s="390"/>
      <c r="M32" s="390"/>
      <c r="N32" s="390"/>
      <c r="O32" s="390"/>
      <c r="P32" s="391"/>
      <c r="Q32" s="393"/>
      <c r="R32" s="57"/>
      <c r="S32" s="57"/>
      <c r="T32" s="57"/>
      <c r="U32" s="58"/>
      <c r="V32" s="58"/>
      <c r="W32" s="58"/>
      <c r="X32" s="58"/>
      <c r="Y32" s="58"/>
      <c r="Z32" s="170"/>
    </row>
    <row r="33" spans="2:42" ht="15.9" customHeight="1" thickTop="1" thickBot="1">
      <c r="B33" s="59"/>
      <c r="C33" s="394" t="s">
        <v>45</v>
      </c>
      <c r="D33" s="395"/>
      <c r="E33" s="395"/>
      <c r="F33" s="396"/>
      <c r="G33" s="394" t="s">
        <v>76</v>
      </c>
      <c r="H33" s="395"/>
      <c r="I33" s="395"/>
      <c r="J33" s="228" t="s">
        <v>46</v>
      </c>
      <c r="K33" s="403"/>
      <c r="L33" s="403"/>
      <c r="M33" s="405" t="s">
        <v>18</v>
      </c>
      <c r="N33" s="406"/>
      <c r="O33" s="405" t="s">
        <v>48</v>
      </c>
      <c r="P33" s="406"/>
      <c r="Q33" s="30"/>
      <c r="R33" s="30"/>
      <c r="S33" s="30"/>
      <c r="T33" s="30"/>
      <c r="U33" s="30"/>
      <c r="V33" s="30"/>
      <c r="W33" s="30"/>
      <c r="X33" s="30"/>
      <c r="Y33" s="31"/>
      <c r="Z33" s="31"/>
    </row>
    <row r="34" spans="2:42" ht="15.9" customHeight="1" thickTop="1">
      <c r="B34" s="60" t="s">
        <v>15</v>
      </c>
      <c r="C34" s="397"/>
      <c r="D34" s="398"/>
      <c r="E34" s="398"/>
      <c r="F34" s="399"/>
      <c r="G34" s="397"/>
      <c r="H34" s="398"/>
      <c r="I34" s="398"/>
      <c r="J34" s="229"/>
      <c r="K34" s="403"/>
      <c r="L34" s="403"/>
      <c r="M34" s="405"/>
      <c r="N34" s="406"/>
      <c r="O34" s="405"/>
      <c r="P34" s="406"/>
      <c r="Q34" s="386" t="s">
        <v>101</v>
      </c>
      <c r="R34" s="386" t="s">
        <v>102</v>
      </c>
      <c r="S34" s="386" t="s">
        <v>103</v>
      </c>
      <c r="T34" s="386" t="s">
        <v>104</v>
      </c>
      <c r="U34" s="386" t="s">
        <v>105</v>
      </c>
      <c r="V34" s="386" t="s">
        <v>106</v>
      </c>
      <c r="W34" s="386" t="s">
        <v>107</v>
      </c>
      <c r="X34" s="386" t="s">
        <v>108</v>
      </c>
      <c r="Y34" s="213" t="s">
        <v>109</v>
      </c>
      <c r="Z34" s="213" t="s">
        <v>110</v>
      </c>
    </row>
    <row r="35" spans="2:42" ht="15.9" customHeight="1" thickBot="1">
      <c r="B35" s="61"/>
      <c r="C35" s="400"/>
      <c r="D35" s="401"/>
      <c r="E35" s="401"/>
      <c r="F35" s="402"/>
      <c r="G35" s="400"/>
      <c r="H35" s="401"/>
      <c r="I35" s="401"/>
      <c r="J35" s="230"/>
      <c r="K35" s="404"/>
      <c r="L35" s="404"/>
      <c r="M35" s="407"/>
      <c r="N35" s="391"/>
      <c r="O35" s="407"/>
      <c r="P35" s="391"/>
      <c r="Q35" s="387"/>
      <c r="R35" s="387"/>
      <c r="S35" s="387"/>
      <c r="T35" s="387"/>
      <c r="U35" s="387"/>
      <c r="V35" s="387"/>
      <c r="W35" s="387"/>
      <c r="X35" s="387"/>
      <c r="Y35" s="214"/>
      <c r="Z35" s="214"/>
    </row>
    <row r="36" spans="2:42" ht="15.9" customHeight="1" thickTop="1">
      <c r="B36" s="379" t="s">
        <v>20</v>
      </c>
      <c r="C36" s="302" t="s">
        <v>58</v>
      </c>
      <c r="D36" s="303"/>
      <c r="E36" s="303"/>
      <c r="F36" s="304"/>
      <c r="G36" s="311" t="s">
        <v>16</v>
      </c>
      <c r="H36" s="382"/>
      <c r="I36" s="383"/>
      <c r="J36" s="313" t="s">
        <v>7</v>
      </c>
      <c r="K36" s="314"/>
      <c r="L36" s="315"/>
      <c r="M36" s="313" t="s">
        <v>77</v>
      </c>
      <c r="N36" s="315"/>
      <c r="O36" s="313" t="s">
        <v>49</v>
      </c>
      <c r="P36" s="315"/>
      <c r="Q36" s="376">
        <f>AD36</f>
        <v>0</v>
      </c>
      <c r="R36" s="376">
        <f t="shared" ref="R36:Z36" si="0">AE36</f>
        <v>0</v>
      </c>
      <c r="S36" s="376">
        <f t="shared" si="0"/>
        <v>0</v>
      </c>
      <c r="T36" s="376">
        <f t="shared" si="0"/>
        <v>0</v>
      </c>
      <c r="U36" s="376">
        <f t="shared" si="0"/>
        <v>0</v>
      </c>
      <c r="V36" s="376">
        <f t="shared" si="0"/>
        <v>0</v>
      </c>
      <c r="W36" s="376">
        <f t="shared" si="0"/>
        <v>0</v>
      </c>
      <c r="X36" s="376">
        <f t="shared" si="0"/>
        <v>0</v>
      </c>
      <c r="Y36" s="376">
        <f t="shared" si="0"/>
        <v>0</v>
      </c>
      <c r="Z36" s="376">
        <f t="shared" si="0"/>
        <v>0</v>
      </c>
      <c r="AA36" s="218"/>
      <c r="AB36" s="218"/>
      <c r="AC36" s="218"/>
      <c r="AD36" s="218"/>
      <c r="AE36" s="218"/>
      <c r="AF36" s="218"/>
      <c r="AG36" s="218"/>
      <c r="AH36" s="218"/>
      <c r="AI36" s="218"/>
      <c r="AJ36" s="218"/>
      <c r="AK36" s="218"/>
      <c r="AL36" s="218"/>
      <c r="AM36" s="218"/>
      <c r="AN36" s="295"/>
      <c r="AO36" s="218"/>
      <c r="AP36" s="218"/>
    </row>
    <row r="37" spans="2:42" ht="15.9" customHeight="1">
      <c r="B37" s="380"/>
      <c r="C37" s="305"/>
      <c r="D37" s="306"/>
      <c r="E37" s="306"/>
      <c r="F37" s="307"/>
      <c r="G37" s="312"/>
      <c r="H37" s="384"/>
      <c r="I37" s="385"/>
      <c r="J37" s="316"/>
      <c r="K37" s="317"/>
      <c r="L37" s="318"/>
      <c r="M37" s="316"/>
      <c r="N37" s="318"/>
      <c r="O37" s="316"/>
      <c r="P37" s="318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95"/>
      <c r="AO37" s="218"/>
      <c r="AP37" s="218"/>
    </row>
    <row r="38" spans="2:42" ht="15.9" customHeight="1" thickBot="1">
      <c r="B38" s="381"/>
      <c r="C38" s="308"/>
      <c r="D38" s="309"/>
      <c r="E38" s="309"/>
      <c r="F38" s="310"/>
      <c r="G38" s="296" t="s">
        <v>78</v>
      </c>
      <c r="H38" s="297"/>
      <c r="I38" s="298"/>
      <c r="J38" s="319"/>
      <c r="K38" s="320"/>
      <c r="L38" s="321"/>
      <c r="M38" s="319"/>
      <c r="N38" s="321"/>
      <c r="O38" s="319"/>
      <c r="P38" s="321"/>
      <c r="Q38" s="378"/>
      <c r="R38" s="378"/>
      <c r="S38" s="378"/>
      <c r="T38" s="378"/>
      <c r="U38" s="378"/>
      <c r="V38" s="378"/>
      <c r="W38" s="378"/>
      <c r="X38" s="378"/>
      <c r="Y38" s="378"/>
      <c r="Z38" s="378"/>
      <c r="AA38" s="218"/>
      <c r="AB38" s="218"/>
      <c r="AC38" s="218"/>
      <c r="AD38" s="218"/>
      <c r="AE38" s="218"/>
      <c r="AF38" s="218"/>
      <c r="AG38" s="218"/>
      <c r="AH38" s="218"/>
      <c r="AI38" s="218"/>
      <c r="AJ38" s="218"/>
      <c r="AK38" s="218"/>
      <c r="AL38" s="218"/>
      <c r="AM38" s="218"/>
      <c r="AN38" s="295"/>
      <c r="AO38" s="218"/>
      <c r="AP38" s="218"/>
    </row>
    <row r="39" spans="2:42" ht="15.9" customHeight="1" thickTop="1">
      <c r="B39" s="379" t="s">
        <v>21</v>
      </c>
      <c r="C39" s="302" t="s">
        <v>59</v>
      </c>
      <c r="D39" s="303"/>
      <c r="E39" s="303"/>
      <c r="F39" s="304"/>
      <c r="G39" s="311" t="s">
        <v>16</v>
      </c>
      <c r="H39" s="382"/>
      <c r="I39" s="383"/>
      <c r="J39" s="313" t="s">
        <v>7</v>
      </c>
      <c r="K39" s="314"/>
      <c r="L39" s="315"/>
      <c r="M39" s="313" t="s">
        <v>77</v>
      </c>
      <c r="N39" s="315"/>
      <c r="O39" s="313" t="s">
        <v>49</v>
      </c>
      <c r="P39" s="314"/>
      <c r="Q39" s="376">
        <f>AD39</f>
        <v>0</v>
      </c>
      <c r="R39" s="376">
        <f t="shared" ref="R39:Z39" si="1">AE39</f>
        <v>0</v>
      </c>
      <c r="S39" s="376">
        <f t="shared" si="1"/>
        <v>0</v>
      </c>
      <c r="T39" s="376">
        <f t="shared" si="1"/>
        <v>0</v>
      </c>
      <c r="U39" s="376">
        <f t="shared" si="1"/>
        <v>0</v>
      </c>
      <c r="V39" s="376">
        <f t="shared" si="1"/>
        <v>0</v>
      </c>
      <c r="W39" s="376">
        <f t="shared" si="1"/>
        <v>0</v>
      </c>
      <c r="X39" s="376">
        <f t="shared" si="1"/>
        <v>0</v>
      </c>
      <c r="Y39" s="376">
        <f t="shared" si="1"/>
        <v>0</v>
      </c>
      <c r="Z39" s="376">
        <f t="shared" si="1"/>
        <v>0</v>
      </c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95"/>
      <c r="AO39" s="218"/>
    </row>
    <row r="40" spans="2:42" ht="15.9" customHeight="1">
      <c r="B40" s="380"/>
      <c r="C40" s="305"/>
      <c r="D40" s="306"/>
      <c r="E40" s="306"/>
      <c r="F40" s="307"/>
      <c r="G40" s="312"/>
      <c r="H40" s="384"/>
      <c r="I40" s="385"/>
      <c r="J40" s="316"/>
      <c r="K40" s="317"/>
      <c r="L40" s="318"/>
      <c r="M40" s="316"/>
      <c r="N40" s="318"/>
      <c r="O40" s="316"/>
      <c r="P40" s="322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218"/>
      <c r="AB40" s="218"/>
      <c r="AC40" s="218"/>
      <c r="AD40" s="218"/>
      <c r="AE40" s="218"/>
      <c r="AF40" s="218"/>
      <c r="AG40" s="218"/>
      <c r="AH40" s="218"/>
      <c r="AI40" s="218"/>
      <c r="AJ40" s="218"/>
      <c r="AK40" s="218"/>
      <c r="AL40" s="218"/>
      <c r="AM40" s="218"/>
      <c r="AN40" s="295"/>
      <c r="AO40" s="218"/>
    </row>
    <row r="41" spans="2:42" ht="15.9" customHeight="1" thickBot="1">
      <c r="B41" s="381"/>
      <c r="C41" s="308"/>
      <c r="D41" s="309"/>
      <c r="E41" s="309"/>
      <c r="F41" s="310"/>
      <c r="G41" s="296" t="s">
        <v>78</v>
      </c>
      <c r="H41" s="297"/>
      <c r="I41" s="298"/>
      <c r="J41" s="319"/>
      <c r="K41" s="320"/>
      <c r="L41" s="321"/>
      <c r="M41" s="319"/>
      <c r="N41" s="321"/>
      <c r="O41" s="319"/>
      <c r="P41" s="320"/>
      <c r="Q41" s="378"/>
      <c r="R41" s="378"/>
      <c r="S41" s="378"/>
      <c r="T41" s="378"/>
      <c r="U41" s="378"/>
      <c r="V41" s="378"/>
      <c r="W41" s="378"/>
      <c r="X41" s="378"/>
      <c r="Y41" s="378"/>
      <c r="Z41" s="37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95"/>
      <c r="AO41" s="218"/>
    </row>
    <row r="42" spans="2:42" ht="15.9" customHeight="1" thickTop="1">
      <c r="B42" s="357" t="s">
        <v>22</v>
      </c>
      <c r="C42" s="337" t="s">
        <v>54</v>
      </c>
      <c r="D42" s="338"/>
      <c r="E42" s="338"/>
      <c r="F42" s="339"/>
      <c r="G42" s="346">
        <v>38</v>
      </c>
      <c r="H42" s="171" t="s">
        <v>79</v>
      </c>
      <c r="I42" s="172">
        <v>0.05</v>
      </c>
      <c r="J42" s="329" t="s">
        <v>7</v>
      </c>
      <c r="K42" s="330"/>
      <c r="L42" s="352"/>
      <c r="M42" s="329" t="s">
        <v>77</v>
      </c>
      <c r="N42" s="352"/>
      <c r="O42" s="329" t="s">
        <v>49</v>
      </c>
      <c r="P42" s="330"/>
      <c r="Q42" s="215">
        <f t="shared" ref="Q42:Z42" si="2">AD42</f>
        <v>0</v>
      </c>
      <c r="R42" s="215">
        <f t="shared" si="2"/>
        <v>0</v>
      </c>
      <c r="S42" s="215">
        <f t="shared" si="2"/>
        <v>0</v>
      </c>
      <c r="T42" s="215">
        <f t="shared" si="2"/>
        <v>0</v>
      </c>
      <c r="U42" s="215">
        <f t="shared" si="2"/>
        <v>0</v>
      </c>
      <c r="V42" s="215">
        <f t="shared" si="2"/>
        <v>0</v>
      </c>
      <c r="W42" s="215">
        <f t="shared" si="2"/>
        <v>0</v>
      </c>
      <c r="X42" s="215">
        <f t="shared" si="2"/>
        <v>0</v>
      </c>
      <c r="Y42" s="215">
        <f t="shared" si="2"/>
        <v>0</v>
      </c>
      <c r="Z42" s="215">
        <f t="shared" si="2"/>
        <v>0</v>
      </c>
      <c r="AA42" s="218"/>
      <c r="AB42" s="218"/>
      <c r="AC42" s="218"/>
      <c r="AD42" s="218"/>
      <c r="AE42" s="218"/>
      <c r="AF42" s="218"/>
      <c r="AG42" s="218"/>
      <c r="AH42" s="218"/>
      <c r="AI42" s="218"/>
      <c r="AJ42" s="218"/>
      <c r="AK42" s="218"/>
      <c r="AL42" s="218"/>
      <c r="AM42" s="218"/>
      <c r="AN42" s="415"/>
      <c r="AO42" s="218"/>
    </row>
    <row r="43" spans="2:42" ht="15.9" customHeight="1">
      <c r="B43" s="335"/>
      <c r="C43" s="340"/>
      <c r="D43" s="341"/>
      <c r="E43" s="341"/>
      <c r="F43" s="342"/>
      <c r="G43" s="349"/>
      <c r="H43" s="173" t="s">
        <v>80</v>
      </c>
      <c r="I43" s="174">
        <v>0.05</v>
      </c>
      <c r="J43" s="331"/>
      <c r="K43" s="353"/>
      <c r="L43" s="354"/>
      <c r="M43" s="331"/>
      <c r="N43" s="354"/>
      <c r="O43" s="331"/>
      <c r="P43" s="332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415"/>
      <c r="AO43" s="218"/>
    </row>
    <row r="44" spans="2:42" ht="15.9" customHeight="1" thickBot="1">
      <c r="B44" s="335"/>
      <c r="C44" s="343"/>
      <c r="D44" s="344"/>
      <c r="E44" s="344"/>
      <c r="F44" s="345"/>
      <c r="G44" s="240" t="s">
        <v>78</v>
      </c>
      <c r="H44" s="241"/>
      <c r="I44" s="242"/>
      <c r="J44" s="333"/>
      <c r="K44" s="334"/>
      <c r="L44" s="355"/>
      <c r="M44" s="333"/>
      <c r="N44" s="355"/>
      <c r="O44" s="333"/>
      <c r="P44" s="334"/>
      <c r="Q44" s="217"/>
      <c r="R44" s="217"/>
      <c r="S44" s="217"/>
      <c r="T44" s="217"/>
      <c r="U44" s="217"/>
      <c r="V44" s="217"/>
      <c r="W44" s="217"/>
      <c r="X44" s="217"/>
      <c r="Y44" s="217"/>
      <c r="Z44" s="217"/>
      <c r="AA44" s="218"/>
      <c r="AB44" s="218"/>
      <c r="AC44" s="218"/>
      <c r="AD44" s="218"/>
      <c r="AE44" s="218"/>
      <c r="AF44" s="218"/>
      <c r="AG44" s="218"/>
      <c r="AH44" s="218"/>
      <c r="AI44" s="218"/>
      <c r="AJ44" s="218"/>
      <c r="AK44" s="218"/>
      <c r="AL44" s="218"/>
      <c r="AM44" s="218"/>
      <c r="AN44" s="415"/>
      <c r="AO44" s="218"/>
    </row>
    <row r="45" spans="2:42" ht="15.9" customHeight="1" thickTop="1">
      <c r="B45" s="335"/>
      <c r="C45" s="337" t="s">
        <v>55</v>
      </c>
      <c r="D45" s="338"/>
      <c r="E45" s="338"/>
      <c r="F45" s="339"/>
      <c r="G45" s="346">
        <v>31</v>
      </c>
      <c r="H45" s="171" t="s">
        <v>79</v>
      </c>
      <c r="I45" s="172">
        <v>0.05</v>
      </c>
      <c r="J45" s="329" t="s">
        <v>7</v>
      </c>
      <c r="K45" s="330"/>
      <c r="L45" s="352"/>
      <c r="M45" s="329" t="s">
        <v>77</v>
      </c>
      <c r="N45" s="352"/>
      <c r="O45" s="329" t="s">
        <v>49</v>
      </c>
      <c r="P45" s="330"/>
      <c r="Q45" s="215">
        <f t="shared" ref="Q45:Z45" si="3">AD45</f>
        <v>0</v>
      </c>
      <c r="R45" s="215">
        <f t="shared" si="3"/>
        <v>0</v>
      </c>
      <c r="S45" s="215">
        <f t="shared" si="3"/>
        <v>0</v>
      </c>
      <c r="T45" s="215">
        <f t="shared" si="3"/>
        <v>0</v>
      </c>
      <c r="U45" s="215">
        <f t="shared" si="3"/>
        <v>0</v>
      </c>
      <c r="V45" s="215">
        <f t="shared" si="3"/>
        <v>0</v>
      </c>
      <c r="W45" s="215">
        <f t="shared" si="3"/>
        <v>0</v>
      </c>
      <c r="X45" s="215">
        <f t="shared" si="3"/>
        <v>0</v>
      </c>
      <c r="Y45" s="215">
        <f t="shared" si="3"/>
        <v>0</v>
      </c>
      <c r="Z45" s="215">
        <f t="shared" si="3"/>
        <v>0</v>
      </c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415"/>
      <c r="AO45" s="218"/>
    </row>
    <row r="46" spans="2:42" ht="15.9" customHeight="1">
      <c r="B46" s="335"/>
      <c r="C46" s="340"/>
      <c r="D46" s="341"/>
      <c r="E46" s="341"/>
      <c r="F46" s="342"/>
      <c r="G46" s="349"/>
      <c r="H46" s="173" t="s">
        <v>80</v>
      </c>
      <c r="I46" s="174">
        <v>0.05</v>
      </c>
      <c r="J46" s="331"/>
      <c r="K46" s="353"/>
      <c r="L46" s="354"/>
      <c r="M46" s="331"/>
      <c r="N46" s="354"/>
      <c r="O46" s="331"/>
      <c r="P46" s="332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8"/>
      <c r="AB46" s="218"/>
      <c r="AC46" s="218"/>
      <c r="AD46" s="218"/>
      <c r="AE46" s="218"/>
      <c r="AF46" s="218"/>
      <c r="AG46" s="218"/>
      <c r="AH46" s="218"/>
      <c r="AI46" s="218"/>
      <c r="AJ46" s="218"/>
      <c r="AK46" s="218"/>
      <c r="AL46" s="218"/>
      <c r="AM46" s="218"/>
      <c r="AN46" s="415"/>
      <c r="AO46" s="218"/>
    </row>
    <row r="47" spans="2:42" ht="15.9" customHeight="1" thickBot="1">
      <c r="B47" s="336"/>
      <c r="C47" s="343"/>
      <c r="D47" s="344"/>
      <c r="E47" s="344"/>
      <c r="F47" s="345"/>
      <c r="G47" s="240" t="s">
        <v>78</v>
      </c>
      <c r="H47" s="241"/>
      <c r="I47" s="242"/>
      <c r="J47" s="333"/>
      <c r="K47" s="334"/>
      <c r="L47" s="355"/>
      <c r="M47" s="333"/>
      <c r="N47" s="355"/>
      <c r="O47" s="333"/>
      <c r="P47" s="334"/>
      <c r="Q47" s="217"/>
      <c r="R47" s="217"/>
      <c r="S47" s="217"/>
      <c r="T47" s="217"/>
      <c r="U47" s="217"/>
      <c r="V47" s="217"/>
      <c r="W47" s="217"/>
      <c r="X47" s="217"/>
      <c r="Y47" s="217"/>
      <c r="Z47" s="217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415"/>
      <c r="AO47" s="218"/>
    </row>
    <row r="48" spans="2:42" ht="15.9" customHeight="1" thickTop="1">
      <c r="B48" s="357" t="s">
        <v>111</v>
      </c>
      <c r="C48" s="337" t="s">
        <v>55</v>
      </c>
      <c r="D48" s="338"/>
      <c r="E48" s="338"/>
      <c r="F48" s="339"/>
      <c r="G48" s="346">
        <v>31</v>
      </c>
      <c r="H48" s="171" t="s">
        <v>79</v>
      </c>
      <c r="I48" s="172">
        <v>0.05</v>
      </c>
      <c r="J48" s="329" t="s">
        <v>7</v>
      </c>
      <c r="K48" s="330"/>
      <c r="L48" s="352"/>
      <c r="M48" s="329" t="s">
        <v>77</v>
      </c>
      <c r="N48" s="352"/>
      <c r="O48" s="329" t="s">
        <v>49</v>
      </c>
      <c r="P48" s="330"/>
      <c r="Q48" s="215">
        <f t="shared" ref="Q48:Z48" si="4">AD48</f>
        <v>0</v>
      </c>
      <c r="R48" s="215">
        <f t="shared" si="4"/>
        <v>0</v>
      </c>
      <c r="S48" s="215">
        <f t="shared" si="4"/>
        <v>0</v>
      </c>
      <c r="T48" s="215">
        <f t="shared" si="4"/>
        <v>0</v>
      </c>
      <c r="U48" s="215">
        <f t="shared" si="4"/>
        <v>0</v>
      </c>
      <c r="V48" s="215">
        <f t="shared" si="4"/>
        <v>0</v>
      </c>
      <c r="W48" s="215">
        <f t="shared" si="4"/>
        <v>0</v>
      </c>
      <c r="X48" s="215">
        <f t="shared" si="4"/>
        <v>0</v>
      </c>
      <c r="Y48" s="215">
        <f t="shared" si="4"/>
        <v>0</v>
      </c>
      <c r="Z48" s="215">
        <f t="shared" si="4"/>
        <v>0</v>
      </c>
      <c r="AA48" s="218"/>
      <c r="AB48" s="218"/>
      <c r="AC48" s="218"/>
      <c r="AD48" s="218"/>
      <c r="AE48" s="218"/>
      <c r="AF48" s="218"/>
      <c r="AG48" s="218"/>
      <c r="AH48" s="218"/>
      <c r="AI48" s="218"/>
      <c r="AJ48" s="218"/>
      <c r="AK48" s="218"/>
      <c r="AL48" s="218"/>
      <c r="AM48" s="218"/>
      <c r="AN48" s="415"/>
      <c r="AO48" s="218"/>
    </row>
    <row r="49" spans="2:41" ht="15.9" customHeight="1">
      <c r="B49" s="335"/>
      <c r="C49" s="340"/>
      <c r="D49" s="341"/>
      <c r="E49" s="341"/>
      <c r="F49" s="342"/>
      <c r="G49" s="349"/>
      <c r="H49" s="173" t="s">
        <v>80</v>
      </c>
      <c r="I49" s="174">
        <v>0.05</v>
      </c>
      <c r="J49" s="331"/>
      <c r="K49" s="353"/>
      <c r="L49" s="354"/>
      <c r="M49" s="331"/>
      <c r="N49" s="354"/>
      <c r="O49" s="331"/>
      <c r="P49" s="332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415"/>
      <c r="AO49" s="218"/>
    </row>
    <row r="50" spans="2:41" ht="15.9" customHeight="1" thickBot="1">
      <c r="B50" s="335"/>
      <c r="C50" s="343"/>
      <c r="D50" s="344"/>
      <c r="E50" s="344"/>
      <c r="F50" s="345"/>
      <c r="G50" s="240" t="s">
        <v>78</v>
      </c>
      <c r="H50" s="241"/>
      <c r="I50" s="242"/>
      <c r="J50" s="333"/>
      <c r="K50" s="334"/>
      <c r="L50" s="355"/>
      <c r="M50" s="333"/>
      <c r="N50" s="355"/>
      <c r="O50" s="333"/>
      <c r="P50" s="334"/>
      <c r="Q50" s="217"/>
      <c r="R50" s="217"/>
      <c r="S50" s="217"/>
      <c r="T50" s="217"/>
      <c r="U50" s="217"/>
      <c r="V50" s="217"/>
      <c r="W50" s="217"/>
      <c r="X50" s="217"/>
      <c r="Y50" s="217"/>
      <c r="Z50" s="217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18"/>
      <c r="AN50" s="415"/>
      <c r="AO50" s="218"/>
    </row>
    <row r="51" spans="2:41" ht="15.9" customHeight="1" thickTop="1">
      <c r="B51" s="335"/>
      <c r="C51" s="337" t="s">
        <v>81</v>
      </c>
      <c r="D51" s="338"/>
      <c r="E51" s="338"/>
      <c r="F51" s="339"/>
      <c r="G51" s="346">
        <v>74</v>
      </c>
      <c r="H51" s="171" t="s">
        <v>79</v>
      </c>
      <c r="I51" s="172">
        <v>0.05</v>
      </c>
      <c r="J51" s="329" t="s">
        <v>7</v>
      </c>
      <c r="K51" s="330"/>
      <c r="L51" s="352"/>
      <c r="M51" s="329" t="s">
        <v>77</v>
      </c>
      <c r="N51" s="352"/>
      <c r="O51" s="329" t="s">
        <v>49</v>
      </c>
      <c r="P51" s="330"/>
      <c r="Q51" s="215">
        <f t="shared" ref="Q51:Z51" si="5">AD51</f>
        <v>0</v>
      </c>
      <c r="R51" s="215">
        <f t="shared" si="5"/>
        <v>0</v>
      </c>
      <c r="S51" s="215">
        <f t="shared" si="5"/>
        <v>0</v>
      </c>
      <c r="T51" s="215">
        <f t="shared" si="5"/>
        <v>0</v>
      </c>
      <c r="U51" s="215">
        <f t="shared" si="5"/>
        <v>0</v>
      </c>
      <c r="V51" s="215">
        <f t="shared" si="5"/>
        <v>0</v>
      </c>
      <c r="W51" s="215">
        <f t="shared" si="5"/>
        <v>0</v>
      </c>
      <c r="X51" s="215">
        <f t="shared" si="5"/>
        <v>0</v>
      </c>
      <c r="Y51" s="215">
        <f t="shared" si="5"/>
        <v>0</v>
      </c>
      <c r="Z51" s="215">
        <f t="shared" si="5"/>
        <v>0</v>
      </c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</row>
    <row r="52" spans="2:41" ht="15.9" customHeight="1">
      <c r="B52" s="335"/>
      <c r="C52" s="340"/>
      <c r="D52" s="341"/>
      <c r="E52" s="341"/>
      <c r="F52" s="342"/>
      <c r="G52" s="349"/>
      <c r="H52" s="173" t="s">
        <v>80</v>
      </c>
      <c r="I52" s="174">
        <v>0.05</v>
      </c>
      <c r="J52" s="331"/>
      <c r="K52" s="353"/>
      <c r="L52" s="354"/>
      <c r="M52" s="331"/>
      <c r="N52" s="354"/>
      <c r="O52" s="331"/>
      <c r="P52" s="332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8"/>
      <c r="AB52" s="218"/>
      <c r="AC52" s="218"/>
      <c r="AD52" s="218"/>
      <c r="AE52" s="218"/>
      <c r="AF52" s="218"/>
      <c r="AG52" s="218"/>
      <c r="AH52" s="218"/>
      <c r="AI52" s="218"/>
      <c r="AJ52" s="218"/>
      <c r="AK52" s="218"/>
      <c r="AL52" s="218"/>
      <c r="AM52" s="218"/>
      <c r="AN52" s="218"/>
      <c r="AO52" s="218"/>
    </row>
    <row r="53" spans="2:41" ht="15.9" customHeight="1" thickBot="1">
      <c r="B53" s="336"/>
      <c r="C53" s="343"/>
      <c r="D53" s="344"/>
      <c r="E53" s="344"/>
      <c r="F53" s="345"/>
      <c r="G53" s="240" t="s">
        <v>78</v>
      </c>
      <c r="H53" s="241"/>
      <c r="I53" s="242"/>
      <c r="J53" s="333"/>
      <c r="K53" s="334"/>
      <c r="L53" s="355"/>
      <c r="M53" s="333"/>
      <c r="N53" s="355"/>
      <c r="O53" s="333"/>
      <c r="P53" s="334"/>
      <c r="Q53" s="217"/>
      <c r="R53" s="217"/>
      <c r="S53" s="217"/>
      <c r="T53" s="217"/>
      <c r="U53" s="217"/>
      <c r="V53" s="217"/>
      <c r="W53" s="217"/>
      <c r="X53" s="217"/>
      <c r="Y53" s="217"/>
      <c r="Z53" s="217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</row>
    <row r="54" spans="2:41" s="67" customFormat="1" ht="15.9" customHeight="1" thickTop="1">
      <c r="B54" s="323" t="s">
        <v>23</v>
      </c>
      <c r="C54" s="302" t="s">
        <v>54</v>
      </c>
      <c r="D54" s="303"/>
      <c r="E54" s="303"/>
      <c r="F54" s="304"/>
      <c r="G54" s="311">
        <v>38</v>
      </c>
      <c r="H54" s="63" t="s">
        <v>79</v>
      </c>
      <c r="I54" s="64">
        <v>0.2</v>
      </c>
      <c r="J54" s="313" t="s">
        <v>7</v>
      </c>
      <c r="K54" s="314"/>
      <c r="L54" s="315"/>
      <c r="M54" s="313" t="s">
        <v>77</v>
      </c>
      <c r="N54" s="315"/>
      <c r="O54" s="313" t="s">
        <v>49</v>
      </c>
      <c r="P54" s="314"/>
      <c r="Q54" s="358">
        <f t="shared" ref="Q54:Z54" si="6">AD54</f>
        <v>0</v>
      </c>
      <c r="R54" s="358">
        <f t="shared" si="6"/>
        <v>0</v>
      </c>
      <c r="S54" s="358">
        <f t="shared" si="6"/>
        <v>0</v>
      </c>
      <c r="T54" s="358">
        <f t="shared" si="6"/>
        <v>0</v>
      </c>
      <c r="U54" s="358">
        <f t="shared" si="6"/>
        <v>0</v>
      </c>
      <c r="V54" s="358">
        <f t="shared" si="6"/>
        <v>0</v>
      </c>
      <c r="W54" s="358">
        <f t="shared" si="6"/>
        <v>0</v>
      </c>
      <c r="X54" s="358">
        <f t="shared" si="6"/>
        <v>0</v>
      </c>
      <c r="Y54" s="358">
        <f t="shared" si="6"/>
        <v>0</v>
      </c>
      <c r="Z54" s="358">
        <f t="shared" si="6"/>
        <v>0</v>
      </c>
      <c r="AA54" s="218"/>
      <c r="AB54" s="218"/>
      <c r="AC54" s="218"/>
      <c r="AD54" s="218"/>
      <c r="AE54" s="218"/>
      <c r="AF54" s="218"/>
      <c r="AG54" s="218"/>
      <c r="AH54" s="218"/>
      <c r="AI54" s="218"/>
      <c r="AJ54" s="218"/>
      <c r="AK54" s="218"/>
      <c r="AL54" s="218"/>
      <c r="AM54" s="218"/>
      <c r="AN54" s="416"/>
      <c r="AO54" s="218"/>
    </row>
    <row r="55" spans="2:41" s="67" customFormat="1" ht="15.9" customHeight="1">
      <c r="B55" s="324"/>
      <c r="C55" s="305"/>
      <c r="D55" s="306"/>
      <c r="E55" s="306"/>
      <c r="F55" s="307"/>
      <c r="G55" s="312"/>
      <c r="H55" s="65" t="s">
        <v>80</v>
      </c>
      <c r="I55" s="66">
        <v>0.2</v>
      </c>
      <c r="J55" s="316"/>
      <c r="K55" s="317"/>
      <c r="L55" s="318"/>
      <c r="M55" s="316"/>
      <c r="N55" s="318"/>
      <c r="O55" s="316"/>
      <c r="P55" s="322"/>
      <c r="Q55" s="359"/>
      <c r="R55" s="359"/>
      <c r="S55" s="359"/>
      <c r="T55" s="359"/>
      <c r="U55" s="359"/>
      <c r="V55" s="359"/>
      <c r="W55" s="359"/>
      <c r="X55" s="359"/>
      <c r="Y55" s="359"/>
      <c r="Z55" s="359"/>
      <c r="AA55" s="218"/>
      <c r="AB55" s="218"/>
      <c r="AC55" s="218"/>
      <c r="AD55" s="218"/>
      <c r="AE55" s="218"/>
      <c r="AF55" s="218"/>
      <c r="AG55" s="218"/>
      <c r="AH55" s="218"/>
      <c r="AI55" s="218"/>
      <c r="AJ55" s="218"/>
      <c r="AK55" s="218"/>
      <c r="AL55" s="218"/>
      <c r="AM55" s="218"/>
      <c r="AN55" s="416"/>
      <c r="AO55" s="218"/>
    </row>
    <row r="56" spans="2:41" s="67" customFormat="1" ht="15.9" customHeight="1" thickBot="1">
      <c r="B56" s="324"/>
      <c r="C56" s="308"/>
      <c r="D56" s="309"/>
      <c r="E56" s="309"/>
      <c r="F56" s="310"/>
      <c r="G56" s="296" t="s">
        <v>78</v>
      </c>
      <c r="H56" s="297"/>
      <c r="I56" s="298"/>
      <c r="J56" s="319"/>
      <c r="K56" s="320"/>
      <c r="L56" s="321"/>
      <c r="M56" s="319"/>
      <c r="N56" s="321"/>
      <c r="O56" s="319"/>
      <c r="P56" s="32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218"/>
      <c r="AB56" s="218"/>
      <c r="AC56" s="218"/>
      <c r="AD56" s="218"/>
      <c r="AE56" s="218"/>
      <c r="AF56" s="218"/>
      <c r="AG56" s="218"/>
      <c r="AH56" s="218"/>
      <c r="AI56" s="218"/>
      <c r="AJ56" s="218"/>
      <c r="AK56" s="218"/>
      <c r="AL56" s="218"/>
      <c r="AM56" s="218"/>
      <c r="AN56" s="416"/>
      <c r="AO56" s="218"/>
    </row>
    <row r="57" spans="2:41" s="67" customFormat="1" ht="15.9" customHeight="1" thickTop="1">
      <c r="B57" s="324"/>
      <c r="C57" s="302" t="s">
        <v>55</v>
      </c>
      <c r="D57" s="303"/>
      <c r="E57" s="303"/>
      <c r="F57" s="304"/>
      <c r="G57" s="311">
        <v>31</v>
      </c>
      <c r="H57" s="63" t="s">
        <v>79</v>
      </c>
      <c r="I57" s="64">
        <v>0.2</v>
      </c>
      <c r="J57" s="313" t="s">
        <v>7</v>
      </c>
      <c r="K57" s="314"/>
      <c r="L57" s="315"/>
      <c r="M57" s="313" t="s">
        <v>77</v>
      </c>
      <c r="N57" s="315"/>
      <c r="O57" s="313" t="s">
        <v>49</v>
      </c>
      <c r="P57" s="314"/>
      <c r="Q57" s="358">
        <f t="shared" ref="Q57:Z57" si="7">AD57</f>
        <v>0</v>
      </c>
      <c r="R57" s="358">
        <f t="shared" si="7"/>
        <v>0</v>
      </c>
      <c r="S57" s="358">
        <f t="shared" si="7"/>
        <v>0</v>
      </c>
      <c r="T57" s="358">
        <f t="shared" si="7"/>
        <v>0</v>
      </c>
      <c r="U57" s="358">
        <f t="shared" si="7"/>
        <v>0</v>
      </c>
      <c r="V57" s="358">
        <f t="shared" si="7"/>
        <v>0</v>
      </c>
      <c r="W57" s="358">
        <f t="shared" si="7"/>
        <v>0</v>
      </c>
      <c r="X57" s="358">
        <f t="shared" si="7"/>
        <v>0</v>
      </c>
      <c r="Y57" s="358">
        <f t="shared" si="7"/>
        <v>0</v>
      </c>
      <c r="Z57" s="358">
        <f t="shared" si="7"/>
        <v>0</v>
      </c>
      <c r="AA57" s="218"/>
      <c r="AB57" s="218"/>
      <c r="AC57" s="218"/>
      <c r="AD57" s="218"/>
      <c r="AE57" s="218"/>
      <c r="AF57" s="218"/>
      <c r="AG57" s="218"/>
      <c r="AH57" s="218"/>
      <c r="AI57" s="218"/>
      <c r="AJ57" s="218"/>
      <c r="AK57" s="218"/>
      <c r="AL57" s="218"/>
      <c r="AM57" s="218"/>
      <c r="AN57" s="416"/>
      <c r="AO57" s="218"/>
    </row>
    <row r="58" spans="2:41" s="67" customFormat="1" ht="15.9" customHeight="1">
      <c r="B58" s="324"/>
      <c r="C58" s="305"/>
      <c r="D58" s="306"/>
      <c r="E58" s="306"/>
      <c r="F58" s="307"/>
      <c r="G58" s="312"/>
      <c r="H58" s="65" t="s">
        <v>80</v>
      </c>
      <c r="I58" s="66">
        <v>0.2</v>
      </c>
      <c r="J58" s="316"/>
      <c r="K58" s="317"/>
      <c r="L58" s="318"/>
      <c r="M58" s="316"/>
      <c r="N58" s="318"/>
      <c r="O58" s="316"/>
      <c r="P58" s="322"/>
      <c r="Q58" s="359"/>
      <c r="R58" s="359"/>
      <c r="S58" s="359"/>
      <c r="T58" s="359"/>
      <c r="U58" s="359"/>
      <c r="V58" s="359"/>
      <c r="W58" s="359"/>
      <c r="X58" s="359"/>
      <c r="Y58" s="359"/>
      <c r="Z58" s="359"/>
      <c r="AA58" s="218"/>
      <c r="AB58" s="218"/>
      <c r="AC58" s="218"/>
      <c r="AD58" s="218"/>
      <c r="AE58" s="218"/>
      <c r="AF58" s="218"/>
      <c r="AG58" s="218"/>
      <c r="AH58" s="218"/>
      <c r="AI58" s="218"/>
      <c r="AJ58" s="218"/>
      <c r="AK58" s="218"/>
      <c r="AL58" s="218"/>
      <c r="AM58" s="218"/>
      <c r="AN58" s="416"/>
      <c r="AO58" s="218"/>
    </row>
    <row r="59" spans="2:41" s="67" customFormat="1" ht="15.9" customHeight="1" thickBot="1">
      <c r="B59" s="325"/>
      <c r="C59" s="308"/>
      <c r="D59" s="309"/>
      <c r="E59" s="309"/>
      <c r="F59" s="310"/>
      <c r="G59" s="296" t="s">
        <v>78</v>
      </c>
      <c r="H59" s="297"/>
      <c r="I59" s="298"/>
      <c r="J59" s="319"/>
      <c r="K59" s="320"/>
      <c r="L59" s="321"/>
      <c r="M59" s="319"/>
      <c r="N59" s="321"/>
      <c r="O59" s="319"/>
      <c r="P59" s="32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218"/>
      <c r="AB59" s="218"/>
      <c r="AC59" s="218"/>
      <c r="AD59" s="218"/>
      <c r="AE59" s="218"/>
      <c r="AF59" s="218"/>
      <c r="AG59" s="218"/>
      <c r="AH59" s="218"/>
      <c r="AI59" s="218"/>
      <c r="AJ59" s="218"/>
      <c r="AK59" s="218"/>
      <c r="AL59" s="218"/>
      <c r="AM59" s="218"/>
      <c r="AN59" s="416"/>
      <c r="AO59" s="218"/>
    </row>
    <row r="60" spans="2:41" ht="15.9" customHeight="1" thickTop="1">
      <c r="B60" s="323" t="s">
        <v>24</v>
      </c>
      <c r="C60" s="302" t="s">
        <v>54</v>
      </c>
      <c r="D60" s="303"/>
      <c r="E60" s="303"/>
      <c r="F60" s="304"/>
      <c r="G60" s="311">
        <v>36</v>
      </c>
      <c r="H60" s="63" t="s">
        <v>79</v>
      </c>
      <c r="I60" s="64">
        <v>0.2</v>
      </c>
      <c r="J60" s="313" t="s">
        <v>7</v>
      </c>
      <c r="K60" s="314"/>
      <c r="L60" s="315"/>
      <c r="M60" s="313" t="s">
        <v>77</v>
      </c>
      <c r="N60" s="315"/>
      <c r="O60" s="313" t="s">
        <v>49</v>
      </c>
      <c r="P60" s="314"/>
      <c r="Q60" s="358">
        <f t="shared" ref="Q60:Z60" si="8">AD60</f>
        <v>0</v>
      </c>
      <c r="R60" s="358">
        <f t="shared" si="8"/>
        <v>0</v>
      </c>
      <c r="S60" s="358">
        <f t="shared" si="8"/>
        <v>0</v>
      </c>
      <c r="T60" s="358">
        <f t="shared" si="8"/>
        <v>0</v>
      </c>
      <c r="U60" s="358">
        <f t="shared" si="8"/>
        <v>0</v>
      </c>
      <c r="V60" s="358">
        <f t="shared" si="8"/>
        <v>0</v>
      </c>
      <c r="W60" s="358">
        <f t="shared" si="8"/>
        <v>0</v>
      </c>
      <c r="X60" s="358">
        <f t="shared" si="8"/>
        <v>0</v>
      </c>
      <c r="Y60" s="358">
        <f t="shared" si="8"/>
        <v>0</v>
      </c>
      <c r="Z60" s="358">
        <f t="shared" si="8"/>
        <v>0</v>
      </c>
      <c r="AA60" s="218"/>
      <c r="AB60" s="218"/>
      <c r="AC60" s="218"/>
      <c r="AD60" s="218"/>
      <c r="AE60" s="218"/>
      <c r="AF60" s="218"/>
      <c r="AG60" s="218"/>
      <c r="AH60" s="218"/>
      <c r="AI60" s="218"/>
      <c r="AJ60" s="218"/>
      <c r="AK60" s="218"/>
      <c r="AL60" s="218"/>
      <c r="AM60" s="218"/>
      <c r="AN60" s="416"/>
      <c r="AO60" s="218"/>
    </row>
    <row r="61" spans="2:41" ht="15.9" customHeight="1">
      <c r="B61" s="324"/>
      <c r="C61" s="305"/>
      <c r="D61" s="306"/>
      <c r="E61" s="306"/>
      <c r="F61" s="307"/>
      <c r="G61" s="312"/>
      <c r="H61" s="65" t="s">
        <v>80</v>
      </c>
      <c r="I61" s="66">
        <v>0.2</v>
      </c>
      <c r="J61" s="316"/>
      <c r="K61" s="317"/>
      <c r="L61" s="318"/>
      <c r="M61" s="316"/>
      <c r="N61" s="318"/>
      <c r="O61" s="316"/>
      <c r="P61" s="322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218"/>
      <c r="AB61" s="218"/>
      <c r="AC61" s="218"/>
      <c r="AD61" s="218"/>
      <c r="AE61" s="218"/>
      <c r="AF61" s="218"/>
      <c r="AG61" s="218"/>
      <c r="AH61" s="218"/>
      <c r="AI61" s="218"/>
      <c r="AJ61" s="218"/>
      <c r="AK61" s="218"/>
      <c r="AL61" s="218"/>
      <c r="AM61" s="218"/>
      <c r="AN61" s="416"/>
      <c r="AO61" s="218"/>
    </row>
    <row r="62" spans="2:41" ht="15.9" customHeight="1" thickBot="1">
      <c r="B62" s="324"/>
      <c r="C62" s="308"/>
      <c r="D62" s="309"/>
      <c r="E62" s="309"/>
      <c r="F62" s="310"/>
      <c r="G62" s="296" t="s">
        <v>78</v>
      </c>
      <c r="H62" s="297"/>
      <c r="I62" s="298"/>
      <c r="J62" s="319"/>
      <c r="K62" s="320"/>
      <c r="L62" s="321"/>
      <c r="M62" s="319"/>
      <c r="N62" s="321"/>
      <c r="O62" s="319"/>
      <c r="P62" s="32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218"/>
      <c r="AB62" s="218"/>
      <c r="AC62" s="218"/>
      <c r="AD62" s="218"/>
      <c r="AE62" s="218"/>
      <c r="AF62" s="218"/>
      <c r="AG62" s="218"/>
      <c r="AH62" s="218"/>
      <c r="AI62" s="218"/>
      <c r="AJ62" s="218"/>
      <c r="AK62" s="218"/>
      <c r="AL62" s="218"/>
      <c r="AM62" s="218"/>
      <c r="AN62" s="416"/>
      <c r="AO62" s="218"/>
    </row>
    <row r="63" spans="2:41" ht="15.9" customHeight="1" thickTop="1">
      <c r="B63" s="324"/>
      <c r="C63" s="302" t="s">
        <v>55</v>
      </c>
      <c r="D63" s="303"/>
      <c r="E63" s="303"/>
      <c r="F63" s="304"/>
      <c r="G63" s="311">
        <v>31</v>
      </c>
      <c r="H63" s="63" t="s">
        <v>79</v>
      </c>
      <c r="I63" s="64">
        <v>0.2</v>
      </c>
      <c r="J63" s="313" t="s">
        <v>7</v>
      </c>
      <c r="K63" s="314"/>
      <c r="L63" s="315"/>
      <c r="M63" s="313" t="s">
        <v>77</v>
      </c>
      <c r="N63" s="315"/>
      <c r="O63" s="313" t="s">
        <v>49</v>
      </c>
      <c r="P63" s="314"/>
      <c r="Q63" s="358">
        <f t="shared" ref="Q63:Z63" si="9">AD63</f>
        <v>0</v>
      </c>
      <c r="R63" s="358">
        <f t="shared" si="9"/>
        <v>0</v>
      </c>
      <c r="S63" s="358">
        <f t="shared" si="9"/>
        <v>0</v>
      </c>
      <c r="T63" s="358">
        <f t="shared" si="9"/>
        <v>0</v>
      </c>
      <c r="U63" s="358">
        <f t="shared" si="9"/>
        <v>0</v>
      </c>
      <c r="V63" s="358">
        <f t="shared" si="9"/>
        <v>0</v>
      </c>
      <c r="W63" s="358">
        <f t="shared" si="9"/>
        <v>0</v>
      </c>
      <c r="X63" s="358">
        <f t="shared" si="9"/>
        <v>0</v>
      </c>
      <c r="Y63" s="358">
        <f t="shared" si="9"/>
        <v>0</v>
      </c>
      <c r="Z63" s="358">
        <f t="shared" si="9"/>
        <v>0</v>
      </c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18"/>
      <c r="AN63" s="416"/>
      <c r="AO63" s="218"/>
    </row>
    <row r="64" spans="2:41" ht="15.9" customHeight="1">
      <c r="B64" s="324"/>
      <c r="C64" s="305"/>
      <c r="D64" s="306"/>
      <c r="E64" s="306"/>
      <c r="F64" s="307"/>
      <c r="G64" s="312"/>
      <c r="H64" s="65" t="s">
        <v>80</v>
      </c>
      <c r="I64" s="66">
        <v>0.2</v>
      </c>
      <c r="J64" s="316"/>
      <c r="K64" s="317"/>
      <c r="L64" s="318"/>
      <c r="M64" s="316"/>
      <c r="N64" s="318"/>
      <c r="O64" s="316"/>
      <c r="P64" s="322"/>
      <c r="Q64" s="359"/>
      <c r="R64" s="359"/>
      <c r="S64" s="359"/>
      <c r="T64" s="359"/>
      <c r="U64" s="359"/>
      <c r="V64" s="359"/>
      <c r="W64" s="359"/>
      <c r="X64" s="359"/>
      <c r="Y64" s="359"/>
      <c r="Z64" s="359"/>
      <c r="AA64" s="218"/>
      <c r="AB64" s="218"/>
      <c r="AC64" s="218"/>
      <c r="AD64" s="218"/>
      <c r="AE64" s="218"/>
      <c r="AF64" s="218"/>
      <c r="AG64" s="218"/>
      <c r="AH64" s="218"/>
      <c r="AI64" s="218"/>
      <c r="AJ64" s="218"/>
      <c r="AK64" s="218"/>
      <c r="AL64" s="218"/>
      <c r="AM64" s="218"/>
      <c r="AN64" s="416"/>
      <c r="AO64" s="218"/>
    </row>
    <row r="65" spans="2:41" ht="15.9" customHeight="1" thickBot="1">
      <c r="B65" s="325"/>
      <c r="C65" s="308"/>
      <c r="D65" s="309"/>
      <c r="E65" s="309"/>
      <c r="F65" s="310"/>
      <c r="G65" s="296" t="s">
        <v>78</v>
      </c>
      <c r="H65" s="297"/>
      <c r="I65" s="298"/>
      <c r="J65" s="319"/>
      <c r="K65" s="320"/>
      <c r="L65" s="321"/>
      <c r="M65" s="319"/>
      <c r="N65" s="321"/>
      <c r="O65" s="319"/>
      <c r="P65" s="320"/>
      <c r="Q65" s="360"/>
      <c r="R65" s="360"/>
      <c r="S65" s="360"/>
      <c r="T65" s="360"/>
      <c r="U65" s="360"/>
      <c r="V65" s="360"/>
      <c r="W65" s="360"/>
      <c r="X65" s="360"/>
      <c r="Y65" s="360"/>
      <c r="Z65" s="360"/>
      <c r="AA65" s="218"/>
      <c r="AB65" s="218"/>
      <c r="AC65" s="218"/>
      <c r="AD65" s="218"/>
      <c r="AE65" s="218"/>
      <c r="AF65" s="218"/>
      <c r="AG65" s="218"/>
      <c r="AH65" s="218"/>
      <c r="AI65" s="218"/>
      <c r="AJ65" s="218"/>
      <c r="AK65" s="218"/>
      <c r="AL65" s="218"/>
      <c r="AM65" s="218"/>
      <c r="AN65" s="416"/>
      <c r="AO65" s="218"/>
    </row>
    <row r="66" spans="2:41" ht="15.9" customHeight="1" thickTop="1">
      <c r="B66" s="323" t="s">
        <v>25</v>
      </c>
      <c r="C66" s="302" t="s">
        <v>54</v>
      </c>
      <c r="D66" s="303"/>
      <c r="E66" s="303"/>
      <c r="F66" s="304"/>
      <c r="G66" s="311">
        <v>36</v>
      </c>
      <c r="H66" s="63" t="s">
        <v>79</v>
      </c>
      <c r="I66" s="64">
        <v>0.2</v>
      </c>
      <c r="J66" s="313" t="s">
        <v>7</v>
      </c>
      <c r="K66" s="314"/>
      <c r="L66" s="315"/>
      <c r="M66" s="313" t="s">
        <v>77</v>
      </c>
      <c r="N66" s="315"/>
      <c r="O66" s="313" t="s">
        <v>49</v>
      </c>
      <c r="P66" s="314"/>
      <c r="Q66" s="358">
        <f t="shared" ref="Q66:Z66" si="10">AD66</f>
        <v>0</v>
      </c>
      <c r="R66" s="358">
        <f t="shared" si="10"/>
        <v>0</v>
      </c>
      <c r="S66" s="358">
        <f t="shared" si="10"/>
        <v>0</v>
      </c>
      <c r="T66" s="358">
        <f t="shared" si="10"/>
        <v>0</v>
      </c>
      <c r="U66" s="358">
        <f t="shared" si="10"/>
        <v>0</v>
      </c>
      <c r="V66" s="358">
        <f t="shared" si="10"/>
        <v>0</v>
      </c>
      <c r="W66" s="358">
        <f t="shared" si="10"/>
        <v>0</v>
      </c>
      <c r="X66" s="358">
        <f t="shared" si="10"/>
        <v>0</v>
      </c>
      <c r="Y66" s="358">
        <f t="shared" si="10"/>
        <v>0</v>
      </c>
      <c r="Z66" s="358">
        <f t="shared" si="10"/>
        <v>0</v>
      </c>
      <c r="AA66" s="218"/>
      <c r="AB66" s="218"/>
      <c r="AC66" s="218"/>
      <c r="AD66" s="218"/>
      <c r="AE66" s="218"/>
      <c r="AF66" s="218"/>
      <c r="AG66" s="218"/>
      <c r="AH66" s="218"/>
      <c r="AI66" s="218"/>
      <c r="AJ66" s="218"/>
      <c r="AK66" s="218"/>
      <c r="AL66" s="218"/>
      <c r="AM66" s="218"/>
      <c r="AN66" s="416"/>
      <c r="AO66" s="218"/>
    </row>
    <row r="67" spans="2:41" ht="15.9" customHeight="1">
      <c r="B67" s="324"/>
      <c r="C67" s="305"/>
      <c r="D67" s="306"/>
      <c r="E67" s="306"/>
      <c r="F67" s="307"/>
      <c r="G67" s="312"/>
      <c r="H67" s="65" t="s">
        <v>80</v>
      </c>
      <c r="I67" s="66">
        <v>0.2</v>
      </c>
      <c r="J67" s="316"/>
      <c r="K67" s="317"/>
      <c r="L67" s="318"/>
      <c r="M67" s="316"/>
      <c r="N67" s="318"/>
      <c r="O67" s="316"/>
      <c r="P67" s="322"/>
      <c r="Q67" s="359"/>
      <c r="R67" s="359"/>
      <c r="S67" s="359"/>
      <c r="T67" s="359"/>
      <c r="U67" s="359"/>
      <c r="V67" s="359"/>
      <c r="W67" s="359"/>
      <c r="X67" s="359"/>
      <c r="Y67" s="359"/>
      <c r="Z67" s="359"/>
      <c r="AA67" s="218"/>
      <c r="AB67" s="218"/>
      <c r="AC67" s="218"/>
      <c r="AD67" s="218"/>
      <c r="AE67" s="218"/>
      <c r="AF67" s="218"/>
      <c r="AG67" s="218"/>
      <c r="AH67" s="218"/>
      <c r="AI67" s="218"/>
      <c r="AJ67" s="218"/>
      <c r="AK67" s="218"/>
      <c r="AL67" s="218"/>
      <c r="AM67" s="218"/>
      <c r="AN67" s="416"/>
      <c r="AO67" s="218"/>
    </row>
    <row r="68" spans="2:41" ht="15.9" customHeight="1" thickBot="1">
      <c r="B68" s="324"/>
      <c r="C68" s="308"/>
      <c r="D68" s="309"/>
      <c r="E68" s="309"/>
      <c r="F68" s="310"/>
      <c r="G68" s="296" t="s">
        <v>78</v>
      </c>
      <c r="H68" s="297"/>
      <c r="I68" s="298"/>
      <c r="J68" s="319"/>
      <c r="K68" s="320"/>
      <c r="L68" s="321"/>
      <c r="M68" s="319"/>
      <c r="N68" s="321"/>
      <c r="O68" s="319"/>
      <c r="P68" s="32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218"/>
      <c r="AB68" s="218"/>
      <c r="AC68" s="218"/>
      <c r="AD68" s="218"/>
      <c r="AE68" s="218"/>
      <c r="AF68" s="218"/>
      <c r="AG68" s="218"/>
      <c r="AH68" s="218"/>
      <c r="AI68" s="218"/>
      <c r="AJ68" s="218"/>
      <c r="AK68" s="218"/>
      <c r="AL68" s="218"/>
      <c r="AM68" s="218"/>
      <c r="AN68" s="416"/>
      <c r="AO68" s="218"/>
    </row>
    <row r="69" spans="2:41" ht="15.9" customHeight="1" thickTop="1">
      <c r="B69" s="324"/>
      <c r="C69" s="302" t="s">
        <v>55</v>
      </c>
      <c r="D69" s="303"/>
      <c r="E69" s="303"/>
      <c r="F69" s="304"/>
      <c r="G69" s="311">
        <v>31</v>
      </c>
      <c r="H69" s="63" t="s">
        <v>79</v>
      </c>
      <c r="I69" s="64">
        <v>0.2</v>
      </c>
      <c r="J69" s="313" t="s">
        <v>7</v>
      </c>
      <c r="K69" s="314"/>
      <c r="L69" s="315"/>
      <c r="M69" s="313" t="s">
        <v>77</v>
      </c>
      <c r="N69" s="315"/>
      <c r="O69" s="313" t="s">
        <v>49</v>
      </c>
      <c r="P69" s="314"/>
      <c r="Q69" s="358">
        <f t="shared" ref="Q69:Z69" si="11">AD69</f>
        <v>0</v>
      </c>
      <c r="R69" s="358">
        <f t="shared" si="11"/>
        <v>0</v>
      </c>
      <c r="S69" s="358">
        <f t="shared" si="11"/>
        <v>0</v>
      </c>
      <c r="T69" s="358">
        <f t="shared" si="11"/>
        <v>0</v>
      </c>
      <c r="U69" s="358">
        <f t="shared" si="11"/>
        <v>0</v>
      </c>
      <c r="V69" s="358">
        <f t="shared" si="11"/>
        <v>0</v>
      </c>
      <c r="W69" s="358">
        <f t="shared" si="11"/>
        <v>0</v>
      </c>
      <c r="X69" s="358">
        <f t="shared" si="11"/>
        <v>0</v>
      </c>
      <c r="Y69" s="358">
        <f t="shared" si="11"/>
        <v>0</v>
      </c>
      <c r="Z69" s="358">
        <f t="shared" si="11"/>
        <v>0</v>
      </c>
      <c r="AA69" s="218"/>
      <c r="AB69" s="218"/>
      <c r="AC69" s="218"/>
      <c r="AD69" s="218"/>
      <c r="AE69" s="218"/>
      <c r="AF69" s="218"/>
      <c r="AG69" s="218"/>
      <c r="AH69" s="218"/>
      <c r="AI69" s="218"/>
      <c r="AJ69" s="218"/>
      <c r="AK69" s="218"/>
      <c r="AL69" s="218"/>
      <c r="AM69" s="218"/>
      <c r="AN69" s="416"/>
      <c r="AO69" s="218"/>
    </row>
    <row r="70" spans="2:41" ht="15.9" customHeight="1">
      <c r="B70" s="324"/>
      <c r="C70" s="305"/>
      <c r="D70" s="306"/>
      <c r="E70" s="306"/>
      <c r="F70" s="307"/>
      <c r="G70" s="312"/>
      <c r="H70" s="65" t="s">
        <v>80</v>
      </c>
      <c r="I70" s="66">
        <v>0.2</v>
      </c>
      <c r="J70" s="316"/>
      <c r="K70" s="317"/>
      <c r="L70" s="318"/>
      <c r="M70" s="316"/>
      <c r="N70" s="318"/>
      <c r="O70" s="316"/>
      <c r="P70" s="322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218"/>
      <c r="AB70" s="218"/>
      <c r="AC70" s="218"/>
      <c r="AD70" s="218"/>
      <c r="AE70" s="218"/>
      <c r="AF70" s="218"/>
      <c r="AG70" s="218"/>
      <c r="AH70" s="218"/>
      <c r="AI70" s="218"/>
      <c r="AJ70" s="218"/>
      <c r="AK70" s="218"/>
      <c r="AL70" s="218"/>
      <c r="AM70" s="218"/>
      <c r="AN70" s="416"/>
      <c r="AO70" s="218"/>
    </row>
    <row r="71" spans="2:41" ht="15.9" customHeight="1" thickBot="1">
      <c r="B71" s="325"/>
      <c r="C71" s="308"/>
      <c r="D71" s="309"/>
      <c r="E71" s="309"/>
      <c r="F71" s="310"/>
      <c r="G71" s="296" t="s">
        <v>78</v>
      </c>
      <c r="H71" s="297"/>
      <c r="I71" s="298"/>
      <c r="J71" s="319"/>
      <c r="K71" s="320"/>
      <c r="L71" s="321"/>
      <c r="M71" s="319"/>
      <c r="N71" s="321"/>
      <c r="O71" s="319"/>
      <c r="P71" s="32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416"/>
      <c r="AO71" s="218"/>
    </row>
    <row r="72" spans="2:41" s="67" customFormat="1" ht="15.9" hidden="1" customHeight="1" thickTop="1">
      <c r="B72" s="68"/>
      <c r="C72" s="69"/>
      <c r="D72" s="69"/>
      <c r="E72" s="69"/>
      <c r="F72" s="69"/>
      <c r="G72" s="70"/>
      <c r="H72" s="71"/>
      <c r="I72" s="72"/>
      <c r="J72" s="69"/>
      <c r="K72" s="69"/>
      <c r="L72" s="69"/>
      <c r="M72" s="73"/>
      <c r="N72" s="73"/>
      <c r="O72" s="74"/>
      <c r="P72" s="74"/>
      <c r="Q72" s="188"/>
      <c r="R72" s="188"/>
      <c r="S72" s="188"/>
      <c r="T72" s="188"/>
      <c r="U72" s="188"/>
      <c r="V72" s="326"/>
      <c r="W72" s="326"/>
      <c r="X72" s="326"/>
      <c r="Y72" s="326"/>
      <c r="Z72" s="418"/>
      <c r="AA72" s="218"/>
      <c r="AB72" s="218"/>
      <c r="AC72" s="218"/>
      <c r="AD72" s="218"/>
      <c r="AE72" s="218"/>
      <c r="AF72" s="218"/>
      <c r="AG72" s="218"/>
      <c r="AH72" s="218"/>
      <c r="AI72" s="218"/>
      <c r="AJ72" s="218"/>
      <c r="AK72" s="218"/>
      <c r="AL72" s="218"/>
      <c r="AM72" s="218"/>
      <c r="AN72" s="218"/>
      <c r="AO72" s="218"/>
    </row>
    <row r="73" spans="2:41" s="67" customFormat="1" ht="15.9" hidden="1" customHeight="1">
      <c r="B73" s="75"/>
      <c r="C73" s="76"/>
      <c r="D73" s="76"/>
      <c r="E73" s="76"/>
      <c r="F73" s="76"/>
      <c r="G73" s="77"/>
      <c r="H73" s="78"/>
      <c r="I73" s="79"/>
      <c r="J73" s="76"/>
      <c r="K73" s="76"/>
      <c r="L73" s="76"/>
      <c r="M73" s="80"/>
      <c r="N73" s="80"/>
      <c r="O73" s="81"/>
      <c r="P73" s="81"/>
      <c r="Q73" s="188"/>
      <c r="R73" s="188"/>
      <c r="S73" s="188"/>
      <c r="T73" s="188"/>
      <c r="U73" s="188"/>
      <c r="V73" s="188"/>
      <c r="W73" s="188"/>
      <c r="X73" s="188"/>
      <c r="Y73" s="188"/>
      <c r="Z73" s="418"/>
      <c r="AA73" s="218"/>
      <c r="AB73" s="218"/>
      <c r="AC73" s="218"/>
      <c r="AD73" s="218"/>
      <c r="AE73" s="218"/>
      <c r="AF73" s="218"/>
      <c r="AG73" s="218"/>
      <c r="AH73" s="218"/>
      <c r="AI73" s="218"/>
      <c r="AJ73" s="218"/>
      <c r="AK73" s="218"/>
      <c r="AL73" s="218"/>
      <c r="AM73" s="218"/>
      <c r="AN73" s="218"/>
      <c r="AO73" s="218"/>
    </row>
    <row r="74" spans="2:41" s="67" customFormat="1" ht="15.9" hidden="1" customHeight="1" thickBot="1">
      <c r="B74" s="75"/>
      <c r="C74" s="76"/>
      <c r="D74" s="76"/>
      <c r="E74" s="76"/>
      <c r="F74" s="76"/>
      <c r="G74" s="82"/>
      <c r="H74" s="82"/>
      <c r="I74" s="82"/>
      <c r="J74" s="76"/>
      <c r="K74" s="76"/>
      <c r="L74" s="76"/>
      <c r="M74" s="80"/>
      <c r="N74" s="80"/>
      <c r="O74" s="81"/>
      <c r="P74" s="81"/>
      <c r="Q74" s="188"/>
      <c r="R74" s="188"/>
      <c r="S74" s="188"/>
      <c r="T74" s="188"/>
      <c r="U74" s="188"/>
      <c r="V74" s="188"/>
      <c r="W74" s="188"/>
      <c r="X74" s="188"/>
      <c r="Y74" s="188"/>
      <c r="Z74" s="418"/>
      <c r="AA74" s="218"/>
      <c r="AB74" s="218"/>
      <c r="AC74" s="218"/>
      <c r="AD74" s="218"/>
      <c r="AE74" s="218"/>
      <c r="AF74" s="218"/>
      <c r="AG74" s="218"/>
      <c r="AH74" s="218"/>
      <c r="AI74" s="218"/>
      <c r="AJ74" s="218"/>
      <c r="AK74" s="218"/>
      <c r="AL74" s="218"/>
      <c r="AM74" s="218"/>
      <c r="AN74" s="218"/>
      <c r="AO74" s="218"/>
    </row>
    <row r="75" spans="2:41" s="67" customFormat="1" ht="15.9" hidden="1" customHeight="1" thickTop="1">
      <c r="B75" s="75"/>
      <c r="C75" s="76"/>
      <c r="D75" s="76"/>
      <c r="E75" s="76"/>
      <c r="F75" s="76"/>
      <c r="G75" s="77"/>
      <c r="H75" s="78"/>
      <c r="I75" s="83"/>
      <c r="J75" s="76"/>
      <c r="K75" s="76"/>
      <c r="L75" s="76"/>
      <c r="M75" s="80"/>
      <c r="N75" s="80"/>
      <c r="O75" s="81"/>
      <c r="P75" s="81"/>
      <c r="Q75" s="188"/>
      <c r="R75" s="188"/>
      <c r="S75" s="188"/>
      <c r="T75" s="188"/>
      <c r="U75" s="188"/>
      <c r="V75" s="188"/>
      <c r="W75" s="189"/>
      <c r="X75" s="189"/>
      <c r="Y75" s="190"/>
      <c r="Z75" s="418"/>
      <c r="AA75" s="218"/>
      <c r="AB75" s="218"/>
      <c r="AC75" s="218"/>
      <c r="AD75" s="218"/>
      <c r="AE75" s="218"/>
      <c r="AF75" s="218"/>
      <c r="AG75" s="218"/>
      <c r="AH75" s="218"/>
      <c r="AI75" s="218"/>
      <c r="AJ75" s="218"/>
      <c r="AK75" s="218"/>
      <c r="AL75" s="218"/>
      <c r="AM75" s="218"/>
      <c r="AN75" s="218"/>
      <c r="AO75" s="218"/>
    </row>
    <row r="76" spans="2:41" s="67" customFormat="1" ht="15.9" hidden="1" customHeight="1">
      <c r="B76" s="75"/>
      <c r="C76" s="76"/>
      <c r="D76" s="76"/>
      <c r="E76" s="76"/>
      <c r="F76" s="76"/>
      <c r="G76" s="77"/>
      <c r="H76" s="78"/>
      <c r="I76" s="79"/>
      <c r="J76" s="76"/>
      <c r="K76" s="76"/>
      <c r="L76" s="76"/>
      <c r="M76" s="80"/>
      <c r="N76" s="80"/>
      <c r="O76" s="81"/>
      <c r="P76" s="81"/>
      <c r="Q76" s="188"/>
      <c r="R76" s="188"/>
      <c r="S76" s="188"/>
      <c r="T76" s="188"/>
      <c r="U76" s="188"/>
      <c r="V76" s="188"/>
      <c r="W76" s="191"/>
      <c r="X76" s="189"/>
      <c r="Y76" s="192"/>
      <c r="Z76" s="418"/>
      <c r="AA76" s="218"/>
      <c r="AB76" s="218"/>
      <c r="AC76" s="218"/>
      <c r="AD76" s="218"/>
      <c r="AE76" s="218"/>
      <c r="AF76" s="218"/>
      <c r="AG76" s="218"/>
      <c r="AH76" s="218"/>
      <c r="AI76" s="218"/>
      <c r="AJ76" s="218"/>
      <c r="AK76" s="218"/>
      <c r="AL76" s="218"/>
      <c r="AM76" s="218"/>
      <c r="AN76" s="218"/>
      <c r="AO76" s="218"/>
    </row>
    <row r="77" spans="2:41" s="67" customFormat="1" ht="15.9" hidden="1" customHeight="1">
      <c r="B77" s="75"/>
      <c r="C77" s="76"/>
      <c r="D77" s="76"/>
      <c r="E77" s="76"/>
      <c r="F77" s="76"/>
      <c r="G77" s="82"/>
      <c r="H77" s="82"/>
      <c r="I77" s="82"/>
      <c r="J77" s="76"/>
      <c r="K77" s="76"/>
      <c r="L77" s="76"/>
      <c r="M77" s="80"/>
      <c r="N77" s="80"/>
      <c r="O77" s="81"/>
      <c r="P77" s="81"/>
      <c r="Q77" s="188"/>
      <c r="R77" s="188"/>
      <c r="S77" s="188"/>
      <c r="T77" s="188"/>
      <c r="U77" s="188"/>
      <c r="V77" s="188"/>
      <c r="W77" s="191"/>
      <c r="X77" s="189"/>
      <c r="Y77" s="193"/>
      <c r="Z77" s="418"/>
      <c r="AA77" s="218"/>
      <c r="AB77" s="218"/>
      <c r="AC77" s="218"/>
      <c r="AD77" s="218"/>
      <c r="AE77" s="218"/>
      <c r="AF77" s="218"/>
      <c r="AG77" s="218"/>
      <c r="AH77" s="218"/>
      <c r="AI77" s="218"/>
      <c r="AJ77" s="218"/>
      <c r="AK77" s="218"/>
      <c r="AL77" s="218"/>
      <c r="AM77" s="218"/>
      <c r="AN77" s="218"/>
      <c r="AO77" s="218"/>
    </row>
    <row r="78" spans="2:41" s="67" customFormat="1" ht="15.9" hidden="1" customHeight="1">
      <c r="B78" s="84"/>
      <c r="C78" s="76"/>
      <c r="D78" s="76"/>
      <c r="E78" s="76"/>
      <c r="F78" s="76"/>
      <c r="G78" s="77"/>
      <c r="H78" s="78"/>
      <c r="I78" s="83"/>
      <c r="J78" s="76"/>
      <c r="K78" s="76"/>
      <c r="L78" s="76"/>
      <c r="M78" s="80"/>
      <c r="N78" s="80"/>
      <c r="O78" s="81"/>
      <c r="P78" s="81"/>
      <c r="Q78" s="188"/>
      <c r="R78" s="188"/>
      <c r="S78" s="188"/>
      <c r="T78" s="188"/>
      <c r="U78" s="188"/>
      <c r="V78" s="188"/>
      <c r="W78" s="191"/>
      <c r="X78" s="189"/>
      <c r="Y78" s="191"/>
      <c r="Z78" s="4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</row>
    <row r="79" spans="2:41" s="67" customFormat="1" ht="15.9" hidden="1" customHeight="1">
      <c r="B79" s="84"/>
      <c r="C79" s="76"/>
      <c r="D79" s="76"/>
      <c r="E79" s="76"/>
      <c r="F79" s="76"/>
      <c r="G79" s="77"/>
      <c r="H79" s="78"/>
      <c r="I79" s="79"/>
      <c r="J79" s="76"/>
      <c r="K79" s="76"/>
      <c r="L79" s="76"/>
      <c r="M79" s="80"/>
      <c r="N79" s="80"/>
      <c r="O79" s="81"/>
      <c r="P79" s="81"/>
      <c r="Q79" s="188"/>
      <c r="R79" s="188"/>
      <c r="S79" s="188"/>
      <c r="T79" s="188"/>
      <c r="U79" s="188"/>
      <c r="V79" s="188"/>
      <c r="W79" s="191"/>
      <c r="X79" s="191"/>
      <c r="Y79" s="190"/>
      <c r="Z79" s="4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</row>
    <row r="80" spans="2:41" s="67" customFormat="1" ht="15.9" hidden="1" customHeight="1" thickBot="1">
      <c r="B80" s="85"/>
      <c r="C80" s="86"/>
      <c r="D80" s="86"/>
      <c r="E80" s="86"/>
      <c r="F80" s="86"/>
      <c r="G80" s="87"/>
      <c r="H80" s="87"/>
      <c r="I80" s="87"/>
      <c r="J80" s="86"/>
      <c r="K80" s="86"/>
      <c r="L80" s="86"/>
      <c r="M80" s="88"/>
      <c r="N80" s="88"/>
      <c r="O80" s="89"/>
      <c r="P80" s="89"/>
      <c r="Q80" s="188"/>
      <c r="R80" s="188"/>
      <c r="S80" s="188"/>
      <c r="T80" s="188"/>
      <c r="U80" s="188"/>
      <c r="V80" s="188"/>
      <c r="W80" s="194"/>
      <c r="X80" s="195"/>
      <c r="Y80" s="190"/>
      <c r="Z80" s="4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</row>
    <row r="81" spans="2:41" ht="15.9" hidden="1" customHeight="1" thickTop="1">
      <c r="B81" s="277" t="s">
        <v>82</v>
      </c>
      <c r="C81" s="278"/>
      <c r="D81" s="278"/>
      <c r="E81" s="279"/>
      <c r="F81" s="286" t="s">
        <v>50</v>
      </c>
      <c r="G81" s="371" t="s">
        <v>83</v>
      </c>
      <c r="H81" s="372"/>
      <c r="I81" s="373"/>
      <c r="J81" s="90"/>
      <c r="K81" s="91"/>
      <c r="L81" s="91"/>
      <c r="M81" s="92"/>
      <c r="N81" s="92"/>
      <c r="O81" s="92"/>
      <c r="P81" s="93"/>
      <c r="Q81" s="196"/>
      <c r="R81" s="374"/>
      <c r="S81" s="374"/>
      <c r="T81" s="374"/>
      <c r="U81" s="374"/>
      <c r="V81" s="374"/>
      <c r="W81" s="375"/>
      <c r="X81" s="361"/>
      <c r="Y81" s="361"/>
      <c r="Z81" s="4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</row>
    <row r="82" spans="2:41" ht="15.9" hidden="1" customHeight="1">
      <c r="B82" s="280"/>
      <c r="C82" s="281"/>
      <c r="D82" s="281"/>
      <c r="E82" s="282"/>
      <c r="F82" s="263"/>
      <c r="G82" s="365"/>
      <c r="H82" s="366"/>
      <c r="I82" s="367"/>
      <c r="J82" s="94"/>
      <c r="K82" s="95"/>
      <c r="L82" s="95"/>
      <c r="M82" s="96"/>
      <c r="N82" s="96"/>
      <c r="O82" s="96"/>
      <c r="P82" s="97"/>
      <c r="Q82" s="197"/>
      <c r="R82" s="374"/>
      <c r="S82" s="374"/>
      <c r="T82" s="374"/>
      <c r="U82" s="374"/>
      <c r="V82" s="374"/>
      <c r="W82" s="375"/>
      <c r="X82" s="361"/>
      <c r="Y82" s="361"/>
      <c r="Z82" s="4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</row>
    <row r="83" spans="2:41" ht="15.9" hidden="1" customHeight="1">
      <c r="B83" s="280"/>
      <c r="C83" s="281"/>
      <c r="D83" s="281"/>
      <c r="E83" s="282"/>
      <c r="F83" s="262" t="s">
        <v>51</v>
      </c>
      <c r="G83" s="362" t="s">
        <v>83</v>
      </c>
      <c r="H83" s="363"/>
      <c r="I83" s="364"/>
      <c r="J83" s="98"/>
      <c r="K83" s="99"/>
      <c r="L83" s="99"/>
      <c r="M83" s="100"/>
      <c r="N83" s="100"/>
      <c r="O83" s="100"/>
      <c r="P83" s="101"/>
      <c r="Q83" s="196"/>
      <c r="R83" s="374"/>
      <c r="S83" s="374"/>
      <c r="T83" s="374"/>
      <c r="U83" s="374"/>
      <c r="V83" s="374"/>
      <c r="W83" s="190"/>
      <c r="X83" s="189"/>
      <c r="Y83" s="189"/>
      <c r="Z83" s="4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</row>
    <row r="84" spans="2:41" ht="15.9" hidden="1" customHeight="1">
      <c r="B84" s="280"/>
      <c r="C84" s="281"/>
      <c r="D84" s="281"/>
      <c r="E84" s="282"/>
      <c r="F84" s="263"/>
      <c r="G84" s="365"/>
      <c r="H84" s="366"/>
      <c r="I84" s="367"/>
      <c r="J84" s="94"/>
      <c r="K84" s="95"/>
      <c r="L84" s="95"/>
      <c r="M84" s="96"/>
      <c r="N84" s="96"/>
      <c r="O84" s="96"/>
      <c r="P84" s="97"/>
      <c r="Q84" s="197"/>
      <c r="R84" s="374"/>
      <c r="S84" s="374"/>
      <c r="T84" s="374"/>
      <c r="U84" s="374"/>
      <c r="V84" s="374"/>
      <c r="W84" s="190"/>
      <c r="X84" s="189"/>
      <c r="Y84" s="189"/>
      <c r="Z84" s="4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</row>
    <row r="85" spans="2:41" ht="15.9" hidden="1" customHeight="1">
      <c r="B85" s="280"/>
      <c r="C85" s="281"/>
      <c r="D85" s="281"/>
      <c r="E85" s="282"/>
      <c r="F85" s="262" t="s">
        <v>52</v>
      </c>
      <c r="G85" s="362" t="s">
        <v>83</v>
      </c>
      <c r="H85" s="363"/>
      <c r="I85" s="364"/>
      <c r="J85" s="102"/>
      <c r="K85" s="103"/>
      <c r="L85" s="103"/>
      <c r="M85" s="67"/>
      <c r="N85" s="67"/>
      <c r="O85" s="67"/>
      <c r="P85" s="104"/>
      <c r="Q85" s="196"/>
      <c r="R85" s="374"/>
      <c r="S85" s="374"/>
      <c r="T85" s="374"/>
      <c r="U85" s="374"/>
      <c r="V85" s="374"/>
      <c r="W85" s="190"/>
      <c r="X85" s="189"/>
      <c r="Y85" s="189"/>
      <c r="Z85" s="4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</row>
    <row r="86" spans="2:41" ht="15.9" hidden="1" customHeight="1" thickBot="1">
      <c r="B86" s="283"/>
      <c r="C86" s="284"/>
      <c r="D86" s="284"/>
      <c r="E86" s="285"/>
      <c r="F86" s="270"/>
      <c r="G86" s="368"/>
      <c r="H86" s="369"/>
      <c r="I86" s="370"/>
      <c r="J86" s="105"/>
      <c r="K86" s="106"/>
      <c r="L86" s="106"/>
      <c r="M86" s="107"/>
      <c r="N86" s="107"/>
      <c r="O86" s="107"/>
      <c r="P86" s="108"/>
      <c r="Q86" s="197"/>
      <c r="R86" s="374"/>
      <c r="S86" s="374"/>
      <c r="T86" s="374"/>
      <c r="U86" s="374"/>
      <c r="V86" s="374"/>
      <c r="W86" s="190"/>
      <c r="X86" s="189"/>
      <c r="Y86" s="189"/>
      <c r="Z86" s="4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</row>
    <row r="87" spans="2:41" ht="15.9" hidden="1" customHeight="1" thickTop="1" thickBot="1">
      <c r="B87" s="109"/>
      <c r="C87" s="110"/>
      <c r="D87" s="110"/>
      <c r="E87" s="110"/>
      <c r="F87" s="110"/>
      <c r="G87" s="111"/>
      <c r="H87" s="111"/>
      <c r="I87" s="111"/>
      <c r="J87" s="292" t="s">
        <v>62</v>
      </c>
      <c r="K87" s="293"/>
      <c r="L87" s="293"/>
      <c r="M87" s="293"/>
      <c r="N87" s="293"/>
      <c r="O87" s="293"/>
      <c r="P87" s="293"/>
      <c r="Q87" s="198"/>
      <c r="R87" s="374"/>
      <c r="S87" s="374"/>
      <c r="T87" s="374"/>
      <c r="U87" s="374"/>
      <c r="V87" s="374"/>
      <c r="W87" s="190"/>
      <c r="X87" s="189"/>
      <c r="Y87" s="189"/>
      <c r="Z87" s="4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</row>
    <row r="88" spans="2:41" ht="15.9" hidden="1" customHeight="1" thickTop="1">
      <c r="B88" s="249" t="s">
        <v>8</v>
      </c>
      <c r="C88" s="250"/>
      <c r="D88" s="250"/>
      <c r="E88" s="250"/>
      <c r="F88" s="250"/>
      <c r="G88" s="250"/>
      <c r="H88" s="250"/>
      <c r="I88" s="250"/>
      <c r="J88" s="250"/>
      <c r="K88" s="250"/>
      <c r="L88" s="251"/>
      <c r="M88" s="113" t="s">
        <v>9</v>
      </c>
      <c r="N88" s="114"/>
      <c r="O88" s="115"/>
      <c r="P88" s="115"/>
      <c r="Q88" s="199"/>
      <c r="R88" s="199"/>
      <c r="S88" s="199"/>
      <c r="T88" s="199"/>
      <c r="U88" s="189"/>
      <c r="V88" s="199"/>
      <c r="W88" s="199"/>
      <c r="X88" s="199"/>
      <c r="Y88" s="199"/>
      <c r="Z88" s="4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</row>
    <row r="89" spans="2:41" ht="15.9" hidden="1" customHeight="1">
      <c r="B89" s="252" t="s">
        <v>10</v>
      </c>
      <c r="C89" s="253"/>
      <c r="D89" s="253"/>
      <c r="E89" s="254"/>
      <c r="F89" s="258" t="s">
        <v>86</v>
      </c>
      <c r="G89" s="253"/>
      <c r="H89" s="253"/>
      <c r="I89" s="253"/>
      <c r="J89" s="253"/>
      <c r="K89" s="253"/>
      <c r="L89" s="259"/>
      <c r="M89" s="117"/>
      <c r="N89" s="118"/>
      <c r="O89" s="119"/>
      <c r="P89" s="120"/>
      <c r="Q89" s="189"/>
      <c r="R89" s="189"/>
      <c r="S89" s="190"/>
      <c r="T89" s="190"/>
      <c r="U89" s="200"/>
      <c r="V89" s="190"/>
      <c r="W89" s="190"/>
      <c r="X89" s="200"/>
      <c r="Y89" s="200"/>
      <c r="Z89" s="4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</row>
    <row r="90" spans="2:41" ht="15.9" hidden="1" customHeight="1">
      <c r="B90" s="255"/>
      <c r="C90" s="256"/>
      <c r="D90" s="256"/>
      <c r="E90" s="257"/>
      <c r="F90" s="260"/>
      <c r="G90" s="256"/>
      <c r="H90" s="256"/>
      <c r="I90" s="256"/>
      <c r="J90" s="256"/>
      <c r="K90" s="256"/>
      <c r="L90" s="261"/>
      <c r="M90" s="121"/>
      <c r="N90" s="122"/>
      <c r="O90" s="123"/>
      <c r="P90" s="120"/>
      <c r="Q90" s="189"/>
      <c r="R90" s="189"/>
      <c r="S90" s="190"/>
      <c r="T90" s="190"/>
      <c r="U90" s="188"/>
      <c r="V90" s="197"/>
      <c r="W90" s="201"/>
      <c r="X90" s="201"/>
      <c r="Y90" s="201"/>
      <c r="Z90" s="4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</row>
    <row r="91" spans="2:41" ht="15.9" hidden="1" customHeight="1" thickBot="1">
      <c r="B91" s="45" t="s">
        <v>90</v>
      </c>
      <c r="C91" s="46"/>
      <c r="D91" s="124"/>
      <c r="E91" s="125"/>
      <c r="F91" s="243">
        <v>45525</v>
      </c>
      <c r="G91" s="244"/>
      <c r="H91" s="244"/>
      <c r="I91" s="245"/>
      <c r="J91" s="126" t="s">
        <v>9</v>
      </c>
      <c r="K91" s="246" t="s">
        <v>63</v>
      </c>
      <c r="L91" s="247"/>
      <c r="M91" s="127"/>
      <c r="N91" s="128"/>
      <c r="O91" s="129" t="s">
        <v>91</v>
      </c>
      <c r="P91" s="130"/>
      <c r="Q91" s="189"/>
      <c r="R91" s="189"/>
      <c r="S91" s="202"/>
      <c r="T91" s="189"/>
      <c r="U91" s="203"/>
      <c r="V91" s="187"/>
      <c r="W91" s="189"/>
      <c r="X91" s="202"/>
      <c r="Y91" s="204"/>
      <c r="Z91" s="4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</row>
    <row r="92" spans="2:41" ht="15.9" hidden="1" customHeight="1" thickTop="1">
      <c r="B92" s="131" t="str">
        <f>'[2]CONTOH WSIRD OPR LBR 1 NON KP'!B90</f>
        <v>CM-PEB-001-01</v>
      </c>
      <c r="Q92" s="189"/>
      <c r="R92" s="189"/>
      <c r="S92" s="189"/>
      <c r="T92" s="189"/>
      <c r="U92" s="189"/>
      <c r="V92" s="189"/>
      <c r="W92" s="189"/>
      <c r="X92" s="189"/>
      <c r="Y92" s="189"/>
      <c r="Z92" s="4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</row>
    <row r="93" spans="2:41" ht="15.75" customHeight="1" thickTop="1" thickBot="1">
      <c r="B93" s="323" t="s">
        <v>26</v>
      </c>
      <c r="C93" s="302" t="s">
        <v>54</v>
      </c>
      <c r="D93" s="303"/>
      <c r="E93" s="303"/>
      <c r="F93" s="304"/>
      <c r="G93" s="311">
        <v>38</v>
      </c>
      <c r="H93" s="63" t="s">
        <v>79</v>
      </c>
      <c r="I93" s="64">
        <v>0.2</v>
      </c>
      <c r="J93" s="313" t="s">
        <v>7</v>
      </c>
      <c r="K93" s="314"/>
      <c r="L93" s="315"/>
      <c r="M93" s="313" t="s">
        <v>77</v>
      </c>
      <c r="N93" s="315"/>
      <c r="O93" s="313" t="s">
        <v>49</v>
      </c>
      <c r="P93" s="314"/>
      <c r="Q93" s="326">
        <f>AD93</f>
        <v>0</v>
      </c>
      <c r="R93" s="326">
        <f t="shared" ref="R93:Z93" si="12">AE93</f>
        <v>0</v>
      </c>
      <c r="S93" s="326">
        <f t="shared" si="12"/>
        <v>0</v>
      </c>
      <c r="T93" s="326">
        <f t="shared" si="12"/>
        <v>0</v>
      </c>
      <c r="U93" s="326">
        <f t="shared" si="12"/>
        <v>0</v>
      </c>
      <c r="V93" s="326">
        <f t="shared" si="12"/>
        <v>0</v>
      </c>
      <c r="W93" s="326">
        <f t="shared" si="12"/>
        <v>0</v>
      </c>
      <c r="X93" s="326">
        <f t="shared" si="12"/>
        <v>0</v>
      </c>
      <c r="Y93" s="326">
        <f t="shared" si="12"/>
        <v>0</v>
      </c>
      <c r="Z93" s="326">
        <f t="shared" si="12"/>
        <v>0</v>
      </c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416"/>
      <c r="AO93" s="218"/>
    </row>
    <row r="94" spans="2:41" ht="15" customHeight="1" thickTop="1" thickBot="1">
      <c r="B94" s="324"/>
      <c r="C94" s="305"/>
      <c r="D94" s="306"/>
      <c r="E94" s="306"/>
      <c r="F94" s="307"/>
      <c r="G94" s="312"/>
      <c r="H94" s="65" t="s">
        <v>80</v>
      </c>
      <c r="I94" s="66">
        <v>0.2</v>
      </c>
      <c r="J94" s="316"/>
      <c r="K94" s="317"/>
      <c r="L94" s="318"/>
      <c r="M94" s="316"/>
      <c r="N94" s="318"/>
      <c r="O94" s="316"/>
      <c r="P94" s="322"/>
      <c r="Q94" s="326"/>
      <c r="R94" s="326"/>
      <c r="S94" s="326"/>
      <c r="T94" s="326"/>
      <c r="U94" s="326"/>
      <c r="V94" s="326"/>
      <c r="W94" s="326"/>
      <c r="X94" s="326"/>
      <c r="Y94" s="326"/>
      <c r="Z94" s="326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416"/>
      <c r="AO94" s="218"/>
    </row>
    <row r="95" spans="2:41" ht="15.75" customHeight="1" thickTop="1" thickBot="1">
      <c r="B95" s="324"/>
      <c r="C95" s="308"/>
      <c r="D95" s="309"/>
      <c r="E95" s="309"/>
      <c r="F95" s="310"/>
      <c r="G95" s="296" t="s">
        <v>78</v>
      </c>
      <c r="H95" s="297"/>
      <c r="I95" s="298"/>
      <c r="J95" s="319"/>
      <c r="K95" s="320"/>
      <c r="L95" s="321"/>
      <c r="M95" s="319"/>
      <c r="N95" s="321"/>
      <c r="O95" s="319"/>
      <c r="P95" s="320"/>
      <c r="Q95" s="326"/>
      <c r="R95" s="326"/>
      <c r="S95" s="326"/>
      <c r="T95" s="326"/>
      <c r="U95" s="326"/>
      <c r="V95" s="326"/>
      <c r="W95" s="326"/>
      <c r="X95" s="326"/>
      <c r="Y95" s="326"/>
      <c r="Z95" s="326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416"/>
      <c r="AO95" s="218"/>
    </row>
    <row r="96" spans="2:41" ht="14.25" customHeight="1" thickTop="1" thickBot="1">
      <c r="B96" s="324"/>
      <c r="C96" s="302" t="s">
        <v>55</v>
      </c>
      <c r="D96" s="303"/>
      <c r="E96" s="303"/>
      <c r="F96" s="304"/>
      <c r="G96" s="311">
        <v>31</v>
      </c>
      <c r="H96" s="63" t="s">
        <v>79</v>
      </c>
      <c r="I96" s="64">
        <v>0.2</v>
      </c>
      <c r="J96" s="313" t="s">
        <v>7</v>
      </c>
      <c r="K96" s="314"/>
      <c r="L96" s="315"/>
      <c r="M96" s="313" t="s">
        <v>77</v>
      </c>
      <c r="N96" s="315"/>
      <c r="O96" s="313" t="s">
        <v>49</v>
      </c>
      <c r="P96" s="314"/>
      <c r="Q96" s="326">
        <f t="shared" ref="Q96:Z96" si="13">AD96</f>
        <v>0</v>
      </c>
      <c r="R96" s="326">
        <f t="shared" si="13"/>
        <v>0</v>
      </c>
      <c r="S96" s="326">
        <f t="shared" si="13"/>
        <v>0</v>
      </c>
      <c r="T96" s="326">
        <f t="shared" si="13"/>
        <v>0</v>
      </c>
      <c r="U96" s="326">
        <f t="shared" si="13"/>
        <v>0</v>
      </c>
      <c r="V96" s="326">
        <f t="shared" si="13"/>
        <v>0</v>
      </c>
      <c r="W96" s="326">
        <f t="shared" si="13"/>
        <v>0</v>
      </c>
      <c r="X96" s="326">
        <f t="shared" si="13"/>
        <v>0</v>
      </c>
      <c r="Y96" s="326">
        <f t="shared" si="13"/>
        <v>0</v>
      </c>
      <c r="Z96" s="419">
        <f t="shared" si="13"/>
        <v>0</v>
      </c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416"/>
      <c r="AO96" s="218"/>
    </row>
    <row r="97" spans="1:41" ht="14.25" customHeight="1" thickTop="1" thickBot="1">
      <c r="B97" s="324"/>
      <c r="C97" s="305"/>
      <c r="D97" s="306"/>
      <c r="E97" s="306"/>
      <c r="F97" s="307"/>
      <c r="G97" s="312"/>
      <c r="H97" s="65" t="s">
        <v>80</v>
      </c>
      <c r="I97" s="66">
        <v>0.2</v>
      </c>
      <c r="J97" s="316"/>
      <c r="K97" s="317"/>
      <c r="L97" s="318"/>
      <c r="M97" s="316"/>
      <c r="N97" s="318"/>
      <c r="O97" s="316"/>
      <c r="P97" s="322"/>
      <c r="Q97" s="326"/>
      <c r="R97" s="326"/>
      <c r="S97" s="326"/>
      <c r="T97" s="326"/>
      <c r="U97" s="326"/>
      <c r="V97" s="326"/>
      <c r="W97" s="326"/>
      <c r="X97" s="326"/>
      <c r="Y97" s="326"/>
      <c r="Z97" s="419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416"/>
      <c r="AO97" s="218"/>
    </row>
    <row r="98" spans="1:41" ht="14.25" customHeight="1" thickTop="1" thickBot="1">
      <c r="B98" s="325"/>
      <c r="C98" s="308"/>
      <c r="D98" s="309"/>
      <c r="E98" s="309"/>
      <c r="F98" s="310"/>
      <c r="G98" s="296" t="s">
        <v>78</v>
      </c>
      <c r="H98" s="297"/>
      <c r="I98" s="298"/>
      <c r="J98" s="319"/>
      <c r="K98" s="320"/>
      <c r="L98" s="321"/>
      <c r="M98" s="319"/>
      <c r="N98" s="321"/>
      <c r="O98" s="319"/>
      <c r="P98" s="320"/>
      <c r="Q98" s="326"/>
      <c r="R98" s="326"/>
      <c r="S98" s="326"/>
      <c r="T98" s="326"/>
      <c r="U98" s="326"/>
      <c r="V98" s="326"/>
      <c r="W98" s="326"/>
      <c r="X98" s="326"/>
      <c r="Y98" s="326"/>
      <c r="Z98" s="419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416"/>
      <c r="AO98" s="218"/>
    </row>
    <row r="99" spans="1:41" ht="14.25" customHeight="1" thickTop="1" thickBot="1">
      <c r="B99" s="323" t="s">
        <v>27</v>
      </c>
      <c r="C99" s="302" t="s">
        <v>54</v>
      </c>
      <c r="D99" s="303"/>
      <c r="E99" s="303"/>
      <c r="F99" s="304"/>
      <c r="G99" s="311">
        <v>35</v>
      </c>
      <c r="H99" s="63" t="s">
        <v>79</v>
      </c>
      <c r="I99" s="64">
        <v>0.2</v>
      </c>
      <c r="J99" s="313" t="s">
        <v>7</v>
      </c>
      <c r="K99" s="314"/>
      <c r="L99" s="315"/>
      <c r="M99" s="313" t="s">
        <v>77</v>
      </c>
      <c r="N99" s="315"/>
      <c r="O99" s="313" t="s">
        <v>49</v>
      </c>
      <c r="P99" s="314"/>
      <c r="Q99" s="326">
        <f t="shared" ref="Q99:Z99" si="14">AD99</f>
        <v>0</v>
      </c>
      <c r="R99" s="326">
        <f t="shared" si="14"/>
        <v>0</v>
      </c>
      <c r="S99" s="326">
        <f t="shared" si="14"/>
        <v>0</v>
      </c>
      <c r="T99" s="326">
        <f t="shared" si="14"/>
        <v>0</v>
      </c>
      <c r="U99" s="326">
        <f t="shared" si="14"/>
        <v>0</v>
      </c>
      <c r="V99" s="326">
        <f t="shared" si="14"/>
        <v>0</v>
      </c>
      <c r="W99" s="326">
        <f t="shared" si="14"/>
        <v>0</v>
      </c>
      <c r="X99" s="326">
        <f t="shared" si="14"/>
        <v>0</v>
      </c>
      <c r="Y99" s="326">
        <f t="shared" si="14"/>
        <v>0</v>
      </c>
      <c r="Z99" s="326">
        <f t="shared" si="14"/>
        <v>0</v>
      </c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416"/>
      <c r="AO99" s="218"/>
    </row>
    <row r="100" spans="1:41" ht="14.25" customHeight="1" thickTop="1" thickBot="1">
      <c r="B100" s="324"/>
      <c r="C100" s="305"/>
      <c r="D100" s="306"/>
      <c r="E100" s="306"/>
      <c r="F100" s="307"/>
      <c r="G100" s="312"/>
      <c r="H100" s="65" t="s">
        <v>80</v>
      </c>
      <c r="I100" s="66">
        <v>0.2</v>
      </c>
      <c r="J100" s="316"/>
      <c r="K100" s="317"/>
      <c r="L100" s="318"/>
      <c r="M100" s="316"/>
      <c r="N100" s="318"/>
      <c r="O100" s="316"/>
      <c r="P100" s="322"/>
      <c r="Q100" s="326"/>
      <c r="R100" s="326"/>
      <c r="S100" s="326"/>
      <c r="T100" s="326"/>
      <c r="U100" s="326"/>
      <c r="V100" s="326"/>
      <c r="W100" s="326"/>
      <c r="X100" s="326"/>
      <c r="Y100" s="326"/>
      <c r="Z100" s="326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416"/>
      <c r="AO100" s="218"/>
    </row>
    <row r="101" spans="1:41" ht="14.25" customHeight="1" thickTop="1" thickBot="1">
      <c r="B101" s="324"/>
      <c r="C101" s="308"/>
      <c r="D101" s="309"/>
      <c r="E101" s="309"/>
      <c r="F101" s="310"/>
      <c r="G101" s="296" t="s">
        <v>78</v>
      </c>
      <c r="H101" s="297"/>
      <c r="I101" s="298"/>
      <c r="J101" s="319"/>
      <c r="K101" s="320"/>
      <c r="L101" s="321"/>
      <c r="M101" s="319"/>
      <c r="N101" s="321"/>
      <c r="O101" s="319"/>
      <c r="P101" s="320"/>
      <c r="Q101" s="326"/>
      <c r="R101" s="326"/>
      <c r="S101" s="326"/>
      <c r="T101" s="326"/>
      <c r="U101" s="326"/>
      <c r="V101" s="326"/>
      <c r="W101" s="326"/>
      <c r="X101" s="326"/>
      <c r="Y101" s="326"/>
      <c r="Z101" s="326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416"/>
      <c r="AO101" s="218"/>
    </row>
    <row r="102" spans="1:41" ht="14.4" thickTop="1" thickBot="1">
      <c r="B102" s="324"/>
      <c r="C102" s="302" t="s">
        <v>55</v>
      </c>
      <c r="D102" s="303"/>
      <c r="E102" s="303"/>
      <c r="F102" s="304"/>
      <c r="G102" s="311">
        <v>77.3</v>
      </c>
      <c r="H102" s="63" t="s">
        <v>79</v>
      </c>
      <c r="I102" s="64">
        <v>0.2</v>
      </c>
      <c r="J102" s="313" t="s">
        <v>7</v>
      </c>
      <c r="K102" s="314"/>
      <c r="L102" s="315"/>
      <c r="M102" s="313" t="s">
        <v>77</v>
      </c>
      <c r="N102" s="315"/>
      <c r="O102" s="313" t="s">
        <v>49</v>
      </c>
      <c r="P102" s="314"/>
      <c r="Q102" s="326">
        <f>AD102</f>
        <v>0</v>
      </c>
      <c r="R102" s="326">
        <f t="shared" ref="R102:Z102" si="15">AE102</f>
        <v>0</v>
      </c>
      <c r="S102" s="326">
        <f t="shared" si="15"/>
        <v>0</v>
      </c>
      <c r="T102" s="326">
        <f t="shared" si="15"/>
        <v>0</v>
      </c>
      <c r="U102" s="326">
        <f t="shared" si="15"/>
        <v>0</v>
      </c>
      <c r="V102" s="326">
        <f t="shared" si="15"/>
        <v>0</v>
      </c>
      <c r="W102" s="326">
        <f t="shared" si="15"/>
        <v>0</v>
      </c>
      <c r="X102" s="326">
        <f t="shared" si="15"/>
        <v>0</v>
      </c>
      <c r="Y102" s="326">
        <f t="shared" si="15"/>
        <v>0</v>
      </c>
      <c r="Z102" s="326">
        <f t="shared" si="15"/>
        <v>0</v>
      </c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416"/>
      <c r="AO102" s="218"/>
    </row>
    <row r="103" spans="1:41" ht="14.4" thickTop="1" thickBot="1">
      <c r="B103" s="324"/>
      <c r="C103" s="305"/>
      <c r="D103" s="306"/>
      <c r="E103" s="306"/>
      <c r="F103" s="307"/>
      <c r="G103" s="312"/>
      <c r="H103" s="65" t="s">
        <v>80</v>
      </c>
      <c r="I103" s="66">
        <v>0.2</v>
      </c>
      <c r="J103" s="316"/>
      <c r="K103" s="317"/>
      <c r="L103" s="318"/>
      <c r="M103" s="316"/>
      <c r="N103" s="318"/>
      <c r="O103" s="316"/>
      <c r="P103" s="322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416"/>
      <c r="AO103" s="218"/>
    </row>
    <row r="104" spans="1:41" ht="14.4" thickTop="1" thickBot="1">
      <c r="B104" s="325"/>
      <c r="C104" s="308"/>
      <c r="D104" s="309"/>
      <c r="E104" s="309"/>
      <c r="F104" s="310"/>
      <c r="G104" s="296" t="s">
        <v>78</v>
      </c>
      <c r="H104" s="297"/>
      <c r="I104" s="298"/>
      <c r="J104" s="319"/>
      <c r="K104" s="320"/>
      <c r="L104" s="321"/>
      <c r="M104" s="319"/>
      <c r="N104" s="321"/>
      <c r="O104" s="319"/>
      <c r="P104" s="320"/>
      <c r="Q104" s="326"/>
      <c r="R104" s="326"/>
      <c r="S104" s="326"/>
      <c r="T104" s="326"/>
      <c r="U104" s="326"/>
      <c r="V104" s="326"/>
      <c r="W104" s="326"/>
      <c r="X104" s="326"/>
      <c r="Y104" s="326"/>
      <c r="Z104" s="326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416"/>
      <c r="AO104" s="218"/>
    </row>
    <row r="105" spans="1:41" ht="14.4" thickTop="1" thickBot="1">
      <c r="B105" s="323" t="s">
        <v>28</v>
      </c>
      <c r="C105" s="302" t="s">
        <v>54</v>
      </c>
      <c r="D105" s="303"/>
      <c r="E105" s="303"/>
      <c r="F105" s="304"/>
      <c r="G105" s="311">
        <v>27.5</v>
      </c>
      <c r="H105" s="63" t="s">
        <v>79</v>
      </c>
      <c r="I105" s="64">
        <v>0.2</v>
      </c>
      <c r="J105" s="313" t="s">
        <v>7</v>
      </c>
      <c r="K105" s="314"/>
      <c r="L105" s="315"/>
      <c r="M105" s="313" t="s">
        <v>77</v>
      </c>
      <c r="N105" s="315"/>
      <c r="O105" s="313" t="s">
        <v>49</v>
      </c>
      <c r="P105" s="314"/>
      <c r="Q105" s="326">
        <f t="shared" ref="Q105:Z105" si="16">AD105</f>
        <v>0</v>
      </c>
      <c r="R105" s="326">
        <f t="shared" si="16"/>
        <v>0</v>
      </c>
      <c r="S105" s="326">
        <f t="shared" si="16"/>
        <v>0</v>
      </c>
      <c r="T105" s="326">
        <f t="shared" si="16"/>
        <v>0</v>
      </c>
      <c r="U105" s="326">
        <f t="shared" si="16"/>
        <v>0</v>
      </c>
      <c r="V105" s="326">
        <f t="shared" si="16"/>
        <v>0</v>
      </c>
      <c r="W105" s="326">
        <f t="shared" si="16"/>
        <v>0</v>
      </c>
      <c r="X105" s="326">
        <f t="shared" si="16"/>
        <v>0</v>
      </c>
      <c r="Y105" s="326">
        <f t="shared" si="16"/>
        <v>0</v>
      </c>
      <c r="Z105" s="326">
        <f t="shared" si="16"/>
        <v>0</v>
      </c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</row>
    <row r="106" spans="1:41" ht="14.4" thickTop="1" thickBot="1">
      <c r="B106" s="324"/>
      <c r="C106" s="305"/>
      <c r="D106" s="306"/>
      <c r="E106" s="306"/>
      <c r="F106" s="307"/>
      <c r="G106" s="312"/>
      <c r="H106" s="65" t="s">
        <v>80</v>
      </c>
      <c r="I106" s="66">
        <v>0.2</v>
      </c>
      <c r="J106" s="316"/>
      <c r="K106" s="317"/>
      <c r="L106" s="318"/>
      <c r="M106" s="316"/>
      <c r="N106" s="318"/>
      <c r="O106" s="316"/>
      <c r="P106" s="322"/>
      <c r="Q106" s="326"/>
      <c r="R106" s="326"/>
      <c r="S106" s="326"/>
      <c r="T106" s="326"/>
      <c r="U106" s="326"/>
      <c r="V106" s="326"/>
      <c r="W106" s="326"/>
      <c r="X106" s="326"/>
      <c r="Y106" s="326"/>
      <c r="Z106" s="326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</row>
    <row r="107" spans="1:41" ht="14.4" thickTop="1" thickBot="1">
      <c r="B107" s="324"/>
      <c r="C107" s="308"/>
      <c r="D107" s="309"/>
      <c r="E107" s="309"/>
      <c r="F107" s="310"/>
      <c r="G107" s="296" t="s">
        <v>78</v>
      </c>
      <c r="H107" s="297"/>
      <c r="I107" s="298"/>
      <c r="J107" s="319"/>
      <c r="K107" s="320"/>
      <c r="L107" s="321"/>
      <c r="M107" s="319"/>
      <c r="N107" s="321"/>
      <c r="O107" s="319"/>
      <c r="P107" s="320"/>
      <c r="Q107" s="326"/>
      <c r="R107" s="326"/>
      <c r="S107" s="326"/>
      <c r="T107" s="326"/>
      <c r="U107" s="326"/>
      <c r="V107" s="326"/>
      <c r="W107" s="326"/>
      <c r="X107" s="326"/>
      <c r="Y107" s="326"/>
      <c r="Z107" s="326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</row>
    <row r="108" spans="1:41" ht="14.4" thickTop="1" thickBot="1">
      <c r="B108" s="324"/>
      <c r="C108" s="302" t="s">
        <v>55</v>
      </c>
      <c r="D108" s="303"/>
      <c r="E108" s="303"/>
      <c r="F108" s="304"/>
      <c r="G108" s="311">
        <v>77.3</v>
      </c>
      <c r="H108" s="63" t="s">
        <v>79</v>
      </c>
      <c r="I108" s="64">
        <v>0.2</v>
      </c>
      <c r="J108" s="313" t="s">
        <v>7</v>
      </c>
      <c r="K108" s="314"/>
      <c r="L108" s="315"/>
      <c r="M108" s="313" t="s">
        <v>77</v>
      </c>
      <c r="N108" s="315"/>
      <c r="O108" s="313" t="s">
        <v>49</v>
      </c>
      <c r="P108" s="314"/>
      <c r="Q108" s="326">
        <f t="shared" ref="Q108:Z108" si="17">AD108</f>
        <v>0</v>
      </c>
      <c r="R108" s="326">
        <f t="shared" si="17"/>
        <v>0</v>
      </c>
      <c r="S108" s="326">
        <f t="shared" si="17"/>
        <v>0</v>
      </c>
      <c r="T108" s="326">
        <f t="shared" si="17"/>
        <v>0</v>
      </c>
      <c r="U108" s="326">
        <f t="shared" si="17"/>
        <v>0</v>
      </c>
      <c r="V108" s="326">
        <f t="shared" si="17"/>
        <v>0</v>
      </c>
      <c r="W108" s="326">
        <f t="shared" si="17"/>
        <v>0</v>
      </c>
      <c r="X108" s="326">
        <f t="shared" si="17"/>
        <v>0</v>
      </c>
      <c r="Y108" s="326">
        <f t="shared" si="17"/>
        <v>0</v>
      </c>
      <c r="Z108" s="326">
        <f t="shared" si="17"/>
        <v>0</v>
      </c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</row>
    <row r="109" spans="1:41" ht="14.4" thickTop="1" thickBot="1">
      <c r="B109" s="324"/>
      <c r="C109" s="305"/>
      <c r="D109" s="306"/>
      <c r="E109" s="306"/>
      <c r="F109" s="307"/>
      <c r="G109" s="312"/>
      <c r="H109" s="65" t="s">
        <v>80</v>
      </c>
      <c r="I109" s="66">
        <v>0.2</v>
      </c>
      <c r="J109" s="316"/>
      <c r="K109" s="317"/>
      <c r="L109" s="318"/>
      <c r="M109" s="316"/>
      <c r="N109" s="318"/>
      <c r="O109" s="316"/>
      <c r="P109" s="322"/>
      <c r="Q109" s="326"/>
      <c r="R109" s="326"/>
      <c r="S109" s="326"/>
      <c r="T109" s="326"/>
      <c r="U109" s="326"/>
      <c r="V109" s="326"/>
      <c r="W109" s="326"/>
      <c r="X109" s="326"/>
      <c r="Y109" s="326"/>
      <c r="Z109" s="326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</row>
    <row r="110" spans="1:41" ht="14.4" thickTop="1" thickBot="1">
      <c r="B110" s="325"/>
      <c r="C110" s="308"/>
      <c r="D110" s="309"/>
      <c r="E110" s="309"/>
      <c r="F110" s="310"/>
      <c r="G110" s="296" t="s">
        <v>78</v>
      </c>
      <c r="H110" s="297"/>
      <c r="I110" s="298"/>
      <c r="J110" s="319"/>
      <c r="K110" s="320"/>
      <c r="L110" s="321"/>
      <c r="M110" s="319"/>
      <c r="N110" s="321"/>
      <c r="O110" s="319"/>
      <c r="P110" s="320"/>
      <c r="Q110" s="326"/>
      <c r="R110" s="326"/>
      <c r="S110" s="326"/>
      <c r="T110" s="326"/>
      <c r="U110" s="326"/>
      <c r="V110" s="326"/>
      <c r="W110" s="326"/>
      <c r="X110" s="326"/>
      <c r="Y110" s="326"/>
      <c r="Z110" s="326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</row>
    <row r="111" spans="1:41" ht="14.4" thickTop="1" thickBot="1">
      <c r="A111" s="67"/>
      <c r="B111" s="357" t="s">
        <v>29</v>
      </c>
      <c r="C111" s="337" t="s">
        <v>56</v>
      </c>
      <c r="D111" s="338"/>
      <c r="E111" s="338"/>
      <c r="F111" s="339"/>
      <c r="G111" s="346">
        <v>74</v>
      </c>
      <c r="H111" s="171" t="s">
        <v>79</v>
      </c>
      <c r="I111" s="172">
        <v>0.05</v>
      </c>
      <c r="J111" s="329" t="s">
        <v>7</v>
      </c>
      <c r="K111" s="330"/>
      <c r="L111" s="352"/>
      <c r="M111" s="329" t="s">
        <v>77</v>
      </c>
      <c r="N111" s="352"/>
      <c r="O111" s="329" t="s">
        <v>49</v>
      </c>
      <c r="P111" s="330"/>
      <c r="Q111" s="327">
        <f t="shared" ref="Q111:Z111" si="18">AD111</f>
        <v>0</v>
      </c>
      <c r="R111" s="327">
        <f t="shared" si="18"/>
        <v>0</v>
      </c>
      <c r="S111" s="327">
        <f t="shared" si="18"/>
        <v>0</v>
      </c>
      <c r="T111" s="327">
        <f t="shared" si="18"/>
        <v>0</v>
      </c>
      <c r="U111" s="327">
        <f t="shared" si="18"/>
        <v>0</v>
      </c>
      <c r="V111" s="327">
        <f t="shared" si="18"/>
        <v>0</v>
      </c>
      <c r="W111" s="327">
        <f t="shared" si="18"/>
        <v>0</v>
      </c>
      <c r="X111" s="327">
        <f t="shared" si="18"/>
        <v>0</v>
      </c>
      <c r="Y111" s="327">
        <f t="shared" si="18"/>
        <v>0</v>
      </c>
      <c r="Z111" s="327">
        <f t="shared" si="18"/>
        <v>0</v>
      </c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415"/>
      <c r="AO111" s="218"/>
    </row>
    <row r="112" spans="1:41" ht="14.4" thickTop="1" thickBot="1">
      <c r="A112" s="67"/>
      <c r="B112" s="335"/>
      <c r="C112" s="340"/>
      <c r="D112" s="341"/>
      <c r="E112" s="341"/>
      <c r="F112" s="342"/>
      <c r="G112" s="349"/>
      <c r="H112" s="173" t="s">
        <v>80</v>
      </c>
      <c r="I112" s="174">
        <v>0.05</v>
      </c>
      <c r="J112" s="331"/>
      <c r="K112" s="353"/>
      <c r="L112" s="354"/>
      <c r="M112" s="331"/>
      <c r="N112" s="354"/>
      <c r="O112" s="331"/>
      <c r="P112" s="332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415"/>
      <c r="AO112" s="218"/>
    </row>
    <row r="113" spans="1:41" ht="14.4" thickTop="1" thickBot="1">
      <c r="A113" s="67"/>
      <c r="B113" s="335"/>
      <c r="C113" s="343"/>
      <c r="D113" s="344"/>
      <c r="E113" s="344"/>
      <c r="F113" s="345"/>
      <c r="G113" s="240" t="s">
        <v>78</v>
      </c>
      <c r="H113" s="241"/>
      <c r="I113" s="242"/>
      <c r="J113" s="333"/>
      <c r="K113" s="334"/>
      <c r="L113" s="355"/>
      <c r="M113" s="333"/>
      <c r="N113" s="355"/>
      <c r="O113" s="333"/>
      <c r="P113" s="334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415"/>
      <c r="AO113" s="218"/>
    </row>
    <row r="114" spans="1:41" ht="14.4" thickTop="1" thickBot="1">
      <c r="A114" s="67"/>
      <c r="B114" s="335"/>
      <c r="C114" s="337" t="s">
        <v>57</v>
      </c>
      <c r="D114" s="338"/>
      <c r="E114" s="338"/>
      <c r="F114" s="339"/>
      <c r="G114" s="346">
        <v>62</v>
      </c>
      <c r="H114" s="171" t="s">
        <v>79</v>
      </c>
      <c r="I114" s="172">
        <v>0.05</v>
      </c>
      <c r="J114" s="329" t="s">
        <v>7</v>
      </c>
      <c r="K114" s="330"/>
      <c r="L114" s="352"/>
      <c r="M114" s="329" t="s">
        <v>77</v>
      </c>
      <c r="N114" s="352"/>
      <c r="O114" s="329" t="s">
        <v>49</v>
      </c>
      <c r="P114" s="330"/>
      <c r="Q114" s="327">
        <f t="shared" ref="Q114:Z114" si="19">AD114</f>
        <v>0</v>
      </c>
      <c r="R114" s="327">
        <f t="shared" si="19"/>
        <v>0</v>
      </c>
      <c r="S114" s="327">
        <f t="shared" si="19"/>
        <v>0</v>
      </c>
      <c r="T114" s="327">
        <f t="shared" si="19"/>
        <v>0</v>
      </c>
      <c r="U114" s="327">
        <f t="shared" si="19"/>
        <v>0</v>
      </c>
      <c r="V114" s="327">
        <f t="shared" si="19"/>
        <v>0</v>
      </c>
      <c r="W114" s="327">
        <f t="shared" si="19"/>
        <v>0</v>
      </c>
      <c r="X114" s="327">
        <f t="shared" si="19"/>
        <v>0</v>
      </c>
      <c r="Y114" s="327">
        <f t="shared" si="19"/>
        <v>0</v>
      </c>
      <c r="Z114" s="327">
        <f t="shared" si="19"/>
        <v>0</v>
      </c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415"/>
      <c r="AO114" s="218"/>
    </row>
    <row r="115" spans="1:41" ht="14.4" thickTop="1" thickBot="1">
      <c r="A115" s="67"/>
      <c r="B115" s="335"/>
      <c r="C115" s="340"/>
      <c r="D115" s="341"/>
      <c r="E115" s="341"/>
      <c r="F115" s="342"/>
      <c r="G115" s="349"/>
      <c r="H115" s="173" t="s">
        <v>80</v>
      </c>
      <c r="I115" s="174">
        <v>0.05</v>
      </c>
      <c r="J115" s="331"/>
      <c r="K115" s="353"/>
      <c r="L115" s="354"/>
      <c r="M115" s="331"/>
      <c r="N115" s="354"/>
      <c r="O115" s="331"/>
      <c r="P115" s="332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415"/>
      <c r="AO115" s="218"/>
    </row>
    <row r="116" spans="1:41" ht="14.4" thickTop="1" thickBot="1">
      <c r="A116" s="67"/>
      <c r="B116" s="336"/>
      <c r="C116" s="343"/>
      <c r="D116" s="344"/>
      <c r="E116" s="344"/>
      <c r="F116" s="345"/>
      <c r="G116" s="240" t="s">
        <v>78</v>
      </c>
      <c r="H116" s="241"/>
      <c r="I116" s="242"/>
      <c r="J116" s="333"/>
      <c r="K116" s="334"/>
      <c r="L116" s="355"/>
      <c r="M116" s="333"/>
      <c r="N116" s="355"/>
      <c r="O116" s="333"/>
      <c r="P116" s="334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415"/>
      <c r="AO116" s="218"/>
    </row>
    <row r="117" spans="1:41" ht="14.4" thickTop="1" thickBot="1">
      <c r="B117" s="357" t="s">
        <v>30</v>
      </c>
      <c r="C117" s="337" t="s">
        <v>54</v>
      </c>
      <c r="D117" s="338"/>
      <c r="E117" s="338"/>
      <c r="F117" s="339"/>
      <c r="G117" s="346">
        <v>36</v>
      </c>
      <c r="H117" s="171" t="s">
        <v>79</v>
      </c>
      <c r="I117" s="172">
        <v>0.05</v>
      </c>
      <c r="J117" s="329" t="s">
        <v>7</v>
      </c>
      <c r="K117" s="330"/>
      <c r="L117" s="352"/>
      <c r="M117" s="329" t="s">
        <v>77</v>
      </c>
      <c r="N117" s="352"/>
      <c r="O117" s="329" t="s">
        <v>49</v>
      </c>
      <c r="P117" s="330"/>
      <c r="Q117" s="327">
        <f t="shared" ref="Q117:Z117" si="20">AD117</f>
        <v>0</v>
      </c>
      <c r="R117" s="327">
        <f t="shared" si="20"/>
        <v>0</v>
      </c>
      <c r="S117" s="327">
        <f t="shared" si="20"/>
        <v>0</v>
      </c>
      <c r="T117" s="327">
        <f t="shared" si="20"/>
        <v>0</v>
      </c>
      <c r="U117" s="327">
        <f t="shared" si="20"/>
        <v>0</v>
      </c>
      <c r="V117" s="327">
        <f t="shared" si="20"/>
        <v>0</v>
      </c>
      <c r="W117" s="327">
        <f t="shared" si="20"/>
        <v>0</v>
      </c>
      <c r="X117" s="327">
        <f t="shared" si="20"/>
        <v>0</v>
      </c>
      <c r="Y117" s="327">
        <f t="shared" si="20"/>
        <v>0</v>
      </c>
      <c r="Z117" s="327">
        <f t="shared" si="20"/>
        <v>0</v>
      </c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415"/>
      <c r="AO117" s="218"/>
    </row>
    <row r="118" spans="1:41" ht="14.4" thickTop="1" thickBot="1">
      <c r="B118" s="335"/>
      <c r="C118" s="340"/>
      <c r="D118" s="341"/>
      <c r="E118" s="341"/>
      <c r="F118" s="342"/>
      <c r="G118" s="349"/>
      <c r="H118" s="173" t="s">
        <v>80</v>
      </c>
      <c r="I118" s="174">
        <v>0.05</v>
      </c>
      <c r="J118" s="331"/>
      <c r="K118" s="353"/>
      <c r="L118" s="354"/>
      <c r="M118" s="331"/>
      <c r="N118" s="354"/>
      <c r="O118" s="331"/>
      <c r="P118" s="332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415"/>
      <c r="AO118" s="218"/>
    </row>
    <row r="119" spans="1:41" ht="14.4" thickTop="1" thickBot="1">
      <c r="B119" s="335"/>
      <c r="C119" s="343"/>
      <c r="D119" s="344"/>
      <c r="E119" s="344"/>
      <c r="F119" s="345"/>
      <c r="G119" s="240" t="s">
        <v>78</v>
      </c>
      <c r="H119" s="241"/>
      <c r="I119" s="242"/>
      <c r="J119" s="333"/>
      <c r="K119" s="334"/>
      <c r="L119" s="355"/>
      <c r="M119" s="333"/>
      <c r="N119" s="355"/>
      <c r="O119" s="333"/>
      <c r="P119" s="334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415"/>
      <c r="AO119" s="218"/>
    </row>
    <row r="120" spans="1:41" ht="14.4" thickTop="1" thickBot="1">
      <c r="B120" s="335"/>
      <c r="C120" s="337" t="s">
        <v>55</v>
      </c>
      <c r="D120" s="338"/>
      <c r="E120" s="338"/>
      <c r="F120" s="339"/>
      <c r="G120" s="346">
        <v>31</v>
      </c>
      <c r="H120" s="171" t="s">
        <v>79</v>
      </c>
      <c r="I120" s="172">
        <v>0.05</v>
      </c>
      <c r="J120" s="329" t="s">
        <v>7</v>
      </c>
      <c r="K120" s="330"/>
      <c r="L120" s="352"/>
      <c r="M120" s="329" t="s">
        <v>77</v>
      </c>
      <c r="N120" s="352"/>
      <c r="O120" s="329" t="s">
        <v>49</v>
      </c>
      <c r="P120" s="330"/>
      <c r="Q120" s="327">
        <f t="shared" ref="Q120:Z120" si="21">AD120</f>
        <v>0</v>
      </c>
      <c r="R120" s="327">
        <f t="shared" si="21"/>
        <v>0</v>
      </c>
      <c r="S120" s="327">
        <f t="shared" si="21"/>
        <v>0</v>
      </c>
      <c r="T120" s="327">
        <f t="shared" si="21"/>
        <v>0</v>
      </c>
      <c r="U120" s="327">
        <f t="shared" si="21"/>
        <v>0</v>
      </c>
      <c r="V120" s="327">
        <f t="shared" si="21"/>
        <v>0</v>
      </c>
      <c r="W120" s="327">
        <f t="shared" si="21"/>
        <v>0</v>
      </c>
      <c r="X120" s="327">
        <f t="shared" si="21"/>
        <v>0</v>
      </c>
      <c r="Y120" s="327">
        <f t="shared" si="21"/>
        <v>0</v>
      </c>
      <c r="Z120" s="327">
        <f t="shared" si="21"/>
        <v>0</v>
      </c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415"/>
      <c r="AO120" s="218"/>
    </row>
    <row r="121" spans="1:41" ht="14.4" thickTop="1" thickBot="1">
      <c r="B121" s="335"/>
      <c r="C121" s="340"/>
      <c r="D121" s="341"/>
      <c r="E121" s="341"/>
      <c r="F121" s="342"/>
      <c r="G121" s="349"/>
      <c r="H121" s="173" t="s">
        <v>80</v>
      </c>
      <c r="I121" s="174">
        <v>0.05</v>
      </c>
      <c r="J121" s="331"/>
      <c r="K121" s="353"/>
      <c r="L121" s="354"/>
      <c r="M121" s="331"/>
      <c r="N121" s="354"/>
      <c r="O121" s="331"/>
      <c r="P121" s="332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415"/>
      <c r="AO121" s="218"/>
    </row>
    <row r="122" spans="1:41" ht="14.4" thickTop="1" thickBot="1">
      <c r="B122" s="336"/>
      <c r="C122" s="343"/>
      <c r="D122" s="344"/>
      <c r="E122" s="344"/>
      <c r="F122" s="345"/>
      <c r="G122" s="240" t="s">
        <v>78</v>
      </c>
      <c r="H122" s="241"/>
      <c r="I122" s="242"/>
      <c r="J122" s="333"/>
      <c r="K122" s="334"/>
      <c r="L122" s="355"/>
      <c r="M122" s="333"/>
      <c r="N122" s="355"/>
      <c r="O122" s="333"/>
      <c r="P122" s="334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415"/>
      <c r="AO122" s="218"/>
    </row>
    <row r="123" spans="1:41" ht="14.4" thickTop="1" thickBot="1">
      <c r="B123" s="323" t="s">
        <v>31</v>
      </c>
      <c r="C123" s="302" t="s">
        <v>60</v>
      </c>
      <c r="D123" s="303"/>
      <c r="E123" s="303"/>
      <c r="F123" s="304"/>
      <c r="G123" s="311">
        <v>21</v>
      </c>
      <c r="H123" s="63" t="s">
        <v>79</v>
      </c>
      <c r="I123" s="64">
        <v>0.2</v>
      </c>
      <c r="J123" s="313" t="s">
        <v>7</v>
      </c>
      <c r="K123" s="314"/>
      <c r="L123" s="315"/>
      <c r="M123" s="313" t="s">
        <v>77</v>
      </c>
      <c r="N123" s="315"/>
      <c r="O123" s="313" t="s">
        <v>49</v>
      </c>
      <c r="P123" s="314"/>
      <c r="Q123" s="326">
        <f t="shared" ref="Q123:Z123" si="22">AD123</f>
        <v>0</v>
      </c>
      <c r="R123" s="326">
        <f t="shared" si="22"/>
        <v>0</v>
      </c>
      <c r="S123" s="326">
        <f t="shared" si="22"/>
        <v>0</v>
      </c>
      <c r="T123" s="326">
        <f t="shared" si="22"/>
        <v>0</v>
      </c>
      <c r="U123" s="326">
        <f t="shared" si="22"/>
        <v>0</v>
      </c>
      <c r="V123" s="326">
        <f t="shared" si="22"/>
        <v>0</v>
      </c>
      <c r="W123" s="326">
        <f t="shared" si="22"/>
        <v>0</v>
      </c>
      <c r="X123" s="326">
        <f t="shared" si="22"/>
        <v>0</v>
      </c>
      <c r="Y123" s="326">
        <f t="shared" si="22"/>
        <v>0</v>
      </c>
      <c r="Z123" s="326">
        <f t="shared" si="22"/>
        <v>0</v>
      </c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417"/>
      <c r="AO123" s="218"/>
    </row>
    <row r="124" spans="1:41" ht="14.4" thickTop="1" thickBot="1">
      <c r="B124" s="324"/>
      <c r="C124" s="305"/>
      <c r="D124" s="306"/>
      <c r="E124" s="306"/>
      <c r="F124" s="307"/>
      <c r="G124" s="312"/>
      <c r="H124" s="65" t="s">
        <v>80</v>
      </c>
      <c r="I124" s="66">
        <v>0.2</v>
      </c>
      <c r="J124" s="316"/>
      <c r="K124" s="317"/>
      <c r="L124" s="318"/>
      <c r="M124" s="316"/>
      <c r="N124" s="318"/>
      <c r="O124" s="316"/>
      <c r="P124" s="322"/>
      <c r="Q124" s="326"/>
      <c r="R124" s="326"/>
      <c r="S124" s="326"/>
      <c r="T124" s="326"/>
      <c r="U124" s="326"/>
      <c r="V124" s="326"/>
      <c r="W124" s="326"/>
      <c r="X124" s="326"/>
      <c r="Y124" s="326"/>
      <c r="Z124" s="326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417"/>
      <c r="AO124" s="218"/>
    </row>
    <row r="125" spans="1:41" ht="14.4" thickTop="1" thickBot="1">
      <c r="B125" s="324"/>
      <c r="C125" s="308"/>
      <c r="D125" s="309"/>
      <c r="E125" s="309"/>
      <c r="F125" s="310"/>
      <c r="G125" s="296" t="s">
        <v>78</v>
      </c>
      <c r="H125" s="297"/>
      <c r="I125" s="298"/>
      <c r="J125" s="319"/>
      <c r="K125" s="320"/>
      <c r="L125" s="321"/>
      <c r="M125" s="319"/>
      <c r="N125" s="321"/>
      <c r="O125" s="319"/>
      <c r="P125" s="320"/>
      <c r="Q125" s="326"/>
      <c r="R125" s="326"/>
      <c r="S125" s="326"/>
      <c r="T125" s="326"/>
      <c r="U125" s="326"/>
      <c r="V125" s="326"/>
      <c r="W125" s="326"/>
      <c r="X125" s="326"/>
      <c r="Y125" s="326"/>
      <c r="Z125" s="326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417"/>
      <c r="AO125" s="218"/>
    </row>
    <row r="126" spans="1:41" ht="14.4" thickTop="1" thickBot="1">
      <c r="B126" s="324"/>
      <c r="C126" s="302" t="s">
        <v>55</v>
      </c>
      <c r="D126" s="303"/>
      <c r="E126" s="303"/>
      <c r="F126" s="304"/>
      <c r="G126" s="311">
        <v>30</v>
      </c>
      <c r="H126" s="63" t="s">
        <v>79</v>
      </c>
      <c r="I126" s="64">
        <v>0.2</v>
      </c>
      <c r="J126" s="313" t="s">
        <v>7</v>
      </c>
      <c r="K126" s="314"/>
      <c r="L126" s="315"/>
      <c r="M126" s="313" t="s">
        <v>77</v>
      </c>
      <c r="N126" s="315"/>
      <c r="O126" s="313" t="s">
        <v>49</v>
      </c>
      <c r="P126" s="314"/>
      <c r="Q126" s="326">
        <f t="shared" ref="Q126:Z126" si="23">AD126</f>
        <v>0</v>
      </c>
      <c r="R126" s="326">
        <f t="shared" si="23"/>
        <v>0</v>
      </c>
      <c r="S126" s="326">
        <f t="shared" si="23"/>
        <v>0</v>
      </c>
      <c r="T126" s="326">
        <f t="shared" si="23"/>
        <v>0</v>
      </c>
      <c r="U126" s="326">
        <f t="shared" si="23"/>
        <v>0</v>
      </c>
      <c r="V126" s="326">
        <f t="shared" si="23"/>
        <v>0</v>
      </c>
      <c r="W126" s="326">
        <f t="shared" si="23"/>
        <v>0</v>
      </c>
      <c r="X126" s="326">
        <f t="shared" si="23"/>
        <v>0</v>
      </c>
      <c r="Y126" s="326">
        <f t="shared" si="23"/>
        <v>0</v>
      </c>
      <c r="Z126" s="326">
        <f t="shared" si="23"/>
        <v>0</v>
      </c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</row>
    <row r="127" spans="1:41" ht="14.4" thickTop="1" thickBot="1">
      <c r="B127" s="324"/>
      <c r="C127" s="305"/>
      <c r="D127" s="306"/>
      <c r="E127" s="306"/>
      <c r="F127" s="307"/>
      <c r="G127" s="312"/>
      <c r="H127" s="65" t="s">
        <v>80</v>
      </c>
      <c r="I127" s="66">
        <v>0.2</v>
      </c>
      <c r="J127" s="316"/>
      <c r="K127" s="317"/>
      <c r="L127" s="318"/>
      <c r="M127" s="316"/>
      <c r="N127" s="318"/>
      <c r="O127" s="316"/>
      <c r="P127" s="322"/>
      <c r="Q127" s="326"/>
      <c r="R127" s="326"/>
      <c r="S127" s="326"/>
      <c r="T127" s="326"/>
      <c r="U127" s="326"/>
      <c r="V127" s="326"/>
      <c r="W127" s="326"/>
      <c r="X127" s="326"/>
      <c r="Y127" s="326"/>
      <c r="Z127" s="326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</row>
    <row r="128" spans="1:41" ht="14.4" thickTop="1" thickBot="1">
      <c r="B128" s="325"/>
      <c r="C128" s="308"/>
      <c r="D128" s="309"/>
      <c r="E128" s="309"/>
      <c r="F128" s="310"/>
      <c r="G128" s="296" t="s">
        <v>78</v>
      </c>
      <c r="H128" s="297"/>
      <c r="I128" s="298"/>
      <c r="J128" s="319"/>
      <c r="K128" s="320"/>
      <c r="L128" s="321"/>
      <c r="M128" s="319"/>
      <c r="N128" s="321"/>
      <c r="O128" s="319"/>
      <c r="P128" s="320"/>
      <c r="Q128" s="326"/>
      <c r="R128" s="326"/>
      <c r="S128" s="326"/>
      <c r="T128" s="326"/>
      <c r="U128" s="326"/>
      <c r="V128" s="326"/>
      <c r="W128" s="326"/>
      <c r="X128" s="326"/>
      <c r="Y128" s="326"/>
      <c r="Z128" s="326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</row>
    <row r="129" spans="2:41" ht="13.5" customHeight="1" thickTop="1" thickBot="1">
      <c r="B129" s="323" t="s">
        <v>32</v>
      </c>
      <c r="C129" s="302" t="s">
        <v>61</v>
      </c>
      <c r="D129" s="303"/>
      <c r="E129" s="303"/>
      <c r="F129" s="304"/>
      <c r="G129" s="311">
        <v>42</v>
      </c>
      <c r="H129" s="63" t="s">
        <v>79</v>
      </c>
      <c r="I129" s="64">
        <v>0.2</v>
      </c>
      <c r="J129" s="313" t="s">
        <v>7</v>
      </c>
      <c r="K129" s="314"/>
      <c r="L129" s="315"/>
      <c r="M129" s="313" t="s">
        <v>77</v>
      </c>
      <c r="N129" s="315"/>
      <c r="O129" s="313" t="s">
        <v>49</v>
      </c>
      <c r="P129" s="314"/>
      <c r="Q129" s="326">
        <f t="shared" ref="Q129:Z129" si="24">AD129</f>
        <v>0</v>
      </c>
      <c r="R129" s="326">
        <f t="shared" si="24"/>
        <v>0</v>
      </c>
      <c r="S129" s="326">
        <f t="shared" si="24"/>
        <v>0</v>
      </c>
      <c r="T129" s="326">
        <f t="shared" si="24"/>
        <v>0</v>
      </c>
      <c r="U129" s="326">
        <f t="shared" si="24"/>
        <v>0</v>
      </c>
      <c r="V129" s="326">
        <f t="shared" si="24"/>
        <v>0</v>
      </c>
      <c r="W129" s="326">
        <f t="shared" si="24"/>
        <v>0</v>
      </c>
      <c r="X129" s="326">
        <f t="shared" si="24"/>
        <v>0</v>
      </c>
      <c r="Y129" s="326">
        <f t="shared" si="24"/>
        <v>0</v>
      </c>
      <c r="Z129" s="326">
        <f t="shared" si="24"/>
        <v>0</v>
      </c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</row>
    <row r="130" spans="2:41" ht="13.5" customHeight="1" thickTop="1" thickBot="1">
      <c r="B130" s="324"/>
      <c r="C130" s="305"/>
      <c r="D130" s="306"/>
      <c r="E130" s="306"/>
      <c r="F130" s="307"/>
      <c r="G130" s="312"/>
      <c r="H130" s="65" t="s">
        <v>80</v>
      </c>
      <c r="I130" s="66">
        <v>0.2</v>
      </c>
      <c r="J130" s="316"/>
      <c r="K130" s="317"/>
      <c r="L130" s="318"/>
      <c r="M130" s="316"/>
      <c r="N130" s="318"/>
      <c r="O130" s="316"/>
      <c r="P130" s="322"/>
      <c r="Q130" s="326"/>
      <c r="R130" s="326"/>
      <c r="S130" s="326"/>
      <c r="T130" s="326"/>
      <c r="U130" s="326"/>
      <c r="V130" s="326"/>
      <c r="W130" s="326"/>
      <c r="X130" s="326"/>
      <c r="Y130" s="326"/>
      <c r="Z130" s="326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</row>
    <row r="131" spans="2:41" ht="13.5" customHeight="1" thickTop="1" thickBot="1">
      <c r="B131" s="324"/>
      <c r="C131" s="308"/>
      <c r="D131" s="309"/>
      <c r="E131" s="309"/>
      <c r="F131" s="310"/>
      <c r="G131" s="296" t="s">
        <v>78</v>
      </c>
      <c r="H131" s="297"/>
      <c r="I131" s="298"/>
      <c r="J131" s="319"/>
      <c r="K131" s="320"/>
      <c r="L131" s="321"/>
      <c r="M131" s="319"/>
      <c r="N131" s="321"/>
      <c r="O131" s="319"/>
      <c r="P131" s="320"/>
      <c r="Q131" s="326"/>
      <c r="R131" s="326"/>
      <c r="S131" s="326"/>
      <c r="T131" s="326"/>
      <c r="U131" s="326"/>
      <c r="V131" s="326"/>
      <c r="W131" s="326"/>
      <c r="X131" s="326"/>
      <c r="Y131" s="326"/>
      <c r="Z131" s="326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</row>
    <row r="132" spans="2:41" ht="14.4" thickTop="1" thickBot="1">
      <c r="B132" s="324"/>
      <c r="C132" s="302" t="s">
        <v>55</v>
      </c>
      <c r="D132" s="303"/>
      <c r="E132" s="303"/>
      <c r="F132" s="304"/>
      <c r="G132" s="311">
        <v>30</v>
      </c>
      <c r="H132" s="63" t="s">
        <v>79</v>
      </c>
      <c r="I132" s="64">
        <v>0.2</v>
      </c>
      <c r="J132" s="313" t="s">
        <v>7</v>
      </c>
      <c r="K132" s="314"/>
      <c r="L132" s="315"/>
      <c r="M132" s="313" t="s">
        <v>77</v>
      </c>
      <c r="N132" s="315"/>
      <c r="O132" s="313" t="s">
        <v>49</v>
      </c>
      <c r="P132" s="314"/>
      <c r="Q132" s="326">
        <f t="shared" ref="Q132:Z132" si="25">AD132</f>
        <v>0</v>
      </c>
      <c r="R132" s="326">
        <f t="shared" si="25"/>
        <v>0</v>
      </c>
      <c r="S132" s="326">
        <f t="shared" si="25"/>
        <v>0</v>
      </c>
      <c r="T132" s="326">
        <f t="shared" si="25"/>
        <v>0</v>
      </c>
      <c r="U132" s="326">
        <f t="shared" si="25"/>
        <v>0</v>
      </c>
      <c r="V132" s="326">
        <f t="shared" si="25"/>
        <v>0</v>
      </c>
      <c r="W132" s="326">
        <f t="shared" si="25"/>
        <v>0</v>
      </c>
      <c r="X132" s="326">
        <f t="shared" si="25"/>
        <v>0</v>
      </c>
      <c r="Y132" s="326">
        <f t="shared" si="25"/>
        <v>0</v>
      </c>
      <c r="Z132" s="326">
        <f t="shared" si="25"/>
        <v>0</v>
      </c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</row>
    <row r="133" spans="2:41" ht="14.4" thickTop="1" thickBot="1">
      <c r="B133" s="324"/>
      <c r="C133" s="305"/>
      <c r="D133" s="306"/>
      <c r="E133" s="306"/>
      <c r="F133" s="307"/>
      <c r="G133" s="312"/>
      <c r="H133" s="65" t="s">
        <v>80</v>
      </c>
      <c r="I133" s="66">
        <v>0.2</v>
      </c>
      <c r="J133" s="316"/>
      <c r="K133" s="317"/>
      <c r="L133" s="318"/>
      <c r="M133" s="316"/>
      <c r="N133" s="318"/>
      <c r="O133" s="316"/>
      <c r="P133" s="322"/>
      <c r="Q133" s="326"/>
      <c r="R133" s="326"/>
      <c r="S133" s="326"/>
      <c r="T133" s="326"/>
      <c r="U133" s="326"/>
      <c r="V133" s="326"/>
      <c r="W133" s="326"/>
      <c r="X133" s="326"/>
      <c r="Y133" s="326"/>
      <c r="Z133" s="326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</row>
    <row r="134" spans="2:41" ht="14.4" thickTop="1" thickBot="1">
      <c r="B134" s="325"/>
      <c r="C134" s="308"/>
      <c r="D134" s="309"/>
      <c r="E134" s="309"/>
      <c r="F134" s="310"/>
      <c r="G134" s="296" t="s">
        <v>78</v>
      </c>
      <c r="H134" s="297"/>
      <c r="I134" s="298"/>
      <c r="J134" s="319"/>
      <c r="K134" s="320"/>
      <c r="L134" s="321"/>
      <c r="M134" s="319"/>
      <c r="N134" s="321"/>
      <c r="O134" s="319"/>
      <c r="P134" s="320"/>
      <c r="Q134" s="326"/>
      <c r="R134" s="326"/>
      <c r="S134" s="326"/>
      <c r="T134" s="326"/>
      <c r="U134" s="326"/>
      <c r="V134" s="326"/>
      <c r="W134" s="326"/>
      <c r="X134" s="326"/>
      <c r="Y134" s="326"/>
      <c r="Z134" s="326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</row>
    <row r="135" spans="2:41" ht="14.4" thickTop="1" thickBot="1">
      <c r="B135" s="323" t="s">
        <v>33</v>
      </c>
      <c r="C135" s="302" t="s">
        <v>54</v>
      </c>
      <c r="D135" s="303"/>
      <c r="E135" s="303"/>
      <c r="F135" s="304"/>
      <c r="G135" s="311">
        <v>49.6</v>
      </c>
      <c r="H135" s="63" t="s">
        <v>79</v>
      </c>
      <c r="I135" s="64">
        <v>0.2</v>
      </c>
      <c r="J135" s="313" t="s">
        <v>7</v>
      </c>
      <c r="K135" s="314"/>
      <c r="L135" s="315"/>
      <c r="M135" s="313" t="s">
        <v>77</v>
      </c>
      <c r="N135" s="315"/>
      <c r="O135" s="313" t="s">
        <v>49</v>
      </c>
      <c r="P135" s="314"/>
      <c r="Q135" s="326">
        <f t="shared" ref="Q135:Z135" si="26">AD135</f>
        <v>0</v>
      </c>
      <c r="R135" s="326">
        <f t="shared" si="26"/>
        <v>0</v>
      </c>
      <c r="S135" s="326">
        <f t="shared" si="26"/>
        <v>0</v>
      </c>
      <c r="T135" s="326">
        <f t="shared" si="26"/>
        <v>0</v>
      </c>
      <c r="U135" s="326">
        <f t="shared" si="26"/>
        <v>0</v>
      </c>
      <c r="V135" s="326">
        <f t="shared" si="26"/>
        <v>0</v>
      </c>
      <c r="W135" s="326">
        <f t="shared" si="26"/>
        <v>0</v>
      </c>
      <c r="X135" s="326">
        <f t="shared" si="26"/>
        <v>0</v>
      </c>
      <c r="Y135" s="326">
        <f t="shared" si="26"/>
        <v>0</v>
      </c>
      <c r="Z135" s="326">
        <f t="shared" si="26"/>
        <v>0</v>
      </c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</row>
    <row r="136" spans="2:41" ht="14.4" thickTop="1" thickBot="1">
      <c r="B136" s="324"/>
      <c r="C136" s="305"/>
      <c r="D136" s="306"/>
      <c r="E136" s="306"/>
      <c r="F136" s="307"/>
      <c r="G136" s="312"/>
      <c r="H136" s="65" t="s">
        <v>80</v>
      </c>
      <c r="I136" s="66">
        <v>0.2</v>
      </c>
      <c r="J136" s="316"/>
      <c r="K136" s="317"/>
      <c r="L136" s="318"/>
      <c r="M136" s="316"/>
      <c r="N136" s="318"/>
      <c r="O136" s="316"/>
      <c r="P136" s="322"/>
      <c r="Q136" s="326"/>
      <c r="R136" s="326"/>
      <c r="S136" s="326"/>
      <c r="T136" s="326"/>
      <c r="U136" s="326"/>
      <c r="V136" s="326"/>
      <c r="W136" s="326"/>
      <c r="X136" s="326"/>
      <c r="Y136" s="326"/>
      <c r="Z136" s="326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</row>
    <row r="137" spans="2:41" ht="14.4" thickTop="1" thickBot="1">
      <c r="B137" s="324"/>
      <c r="C137" s="308"/>
      <c r="D137" s="309"/>
      <c r="E137" s="309"/>
      <c r="F137" s="310"/>
      <c r="G137" s="296" t="s">
        <v>78</v>
      </c>
      <c r="H137" s="297"/>
      <c r="I137" s="298"/>
      <c r="J137" s="319"/>
      <c r="K137" s="320"/>
      <c r="L137" s="321"/>
      <c r="M137" s="319"/>
      <c r="N137" s="321"/>
      <c r="O137" s="319"/>
      <c r="P137" s="320"/>
      <c r="Q137" s="326"/>
      <c r="R137" s="326"/>
      <c r="S137" s="326"/>
      <c r="T137" s="326"/>
      <c r="U137" s="326"/>
      <c r="V137" s="326"/>
      <c r="W137" s="326"/>
      <c r="X137" s="326"/>
      <c r="Y137" s="326"/>
      <c r="Z137" s="326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</row>
    <row r="138" spans="2:41" ht="14.4" thickTop="1" thickBot="1">
      <c r="B138" s="324"/>
      <c r="C138" s="302" t="s">
        <v>55</v>
      </c>
      <c r="D138" s="303"/>
      <c r="E138" s="303"/>
      <c r="F138" s="304"/>
      <c r="G138" s="311">
        <v>30</v>
      </c>
      <c r="H138" s="63" t="s">
        <v>79</v>
      </c>
      <c r="I138" s="64">
        <v>0.2</v>
      </c>
      <c r="J138" s="313" t="s">
        <v>7</v>
      </c>
      <c r="K138" s="314"/>
      <c r="L138" s="315"/>
      <c r="M138" s="313" t="s">
        <v>77</v>
      </c>
      <c r="N138" s="315"/>
      <c r="O138" s="313" t="s">
        <v>49</v>
      </c>
      <c r="P138" s="314"/>
      <c r="Q138" s="326">
        <f t="shared" ref="Q138:Z138" si="27">AD138</f>
        <v>0</v>
      </c>
      <c r="R138" s="326">
        <f t="shared" si="27"/>
        <v>0</v>
      </c>
      <c r="S138" s="326">
        <f t="shared" si="27"/>
        <v>0</v>
      </c>
      <c r="T138" s="326">
        <f t="shared" si="27"/>
        <v>0</v>
      </c>
      <c r="U138" s="326">
        <f t="shared" si="27"/>
        <v>0</v>
      </c>
      <c r="V138" s="326">
        <f t="shared" si="27"/>
        <v>0</v>
      </c>
      <c r="W138" s="326">
        <f t="shared" si="27"/>
        <v>0</v>
      </c>
      <c r="X138" s="326">
        <f t="shared" si="27"/>
        <v>0</v>
      </c>
      <c r="Y138" s="326">
        <f t="shared" si="27"/>
        <v>0</v>
      </c>
      <c r="Z138" s="326">
        <f t="shared" si="27"/>
        <v>0</v>
      </c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</row>
    <row r="139" spans="2:41" ht="14.4" thickTop="1" thickBot="1">
      <c r="B139" s="324"/>
      <c r="C139" s="305"/>
      <c r="D139" s="306"/>
      <c r="E139" s="306"/>
      <c r="F139" s="307"/>
      <c r="G139" s="312"/>
      <c r="H139" s="65" t="s">
        <v>80</v>
      </c>
      <c r="I139" s="66">
        <v>0.2</v>
      </c>
      <c r="J139" s="316"/>
      <c r="K139" s="317"/>
      <c r="L139" s="318"/>
      <c r="M139" s="316"/>
      <c r="N139" s="318"/>
      <c r="O139" s="316"/>
      <c r="P139" s="322"/>
      <c r="Q139" s="326"/>
      <c r="R139" s="326"/>
      <c r="S139" s="326"/>
      <c r="T139" s="326"/>
      <c r="U139" s="326"/>
      <c r="V139" s="326"/>
      <c r="W139" s="326"/>
      <c r="X139" s="326"/>
      <c r="Y139" s="326"/>
      <c r="Z139" s="326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</row>
    <row r="140" spans="2:41" ht="14.4" thickTop="1" thickBot="1">
      <c r="B140" s="325"/>
      <c r="C140" s="308"/>
      <c r="D140" s="309"/>
      <c r="E140" s="309"/>
      <c r="F140" s="310"/>
      <c r="G140" s="296" t="s">
        <v>78</v>
      </c>
      <c r="H140" s="297"/>
      <c r="I140" s="298"/>
      <c r="J140" s="319"/>
      <c r="K140" s="320"/>
      <c r="L140" s="321"/>
      <c r="M140" s="319"/>
      <c r="N140" s="321"/>
      <c r="O140" s="319"/>
      <c r="P140" s="320"/>
      <c r="Q140" s="326"/>
      <c r="R140" s="326"/>
      <c r="S140" s="326"/>
      <c r="T140" s="326"/>
      <c r="U140" s="326"/>
      <c r="V140" s="326"/>
      <c r="W140" s="326"/>
      <c r="X140" s="326"/>
      <c r="Y140" s="326"/>
      <c r="Z140" s="326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</row>
    <row r="141" spans="2:41" ht="14.4" thickTop="1" thickBot="1">
      <c r="B141" s="323" t="s">
        <v>34</v>
      </c>
      <c r="C141" s="302" t="s">
        <v>54</v>
      </c>
      <c r="D141" s="303"/>
      <c r="E141" s="303"/>
      <c r="F141" s="304"/>
      <c r="G141" s="311">
        <v>14</v>
      </c>
      <c r="H141" s="63" t="s">
        <v>79</v>
      </c>
      <c r="I141" s="64">
        <v>0.2</v>
      </c>
      <c r="J141" s="313" t="s">
        <v>7</v>
      </c>
      <c r="K141" s="314"/>
      <c r="L141" s="315"/>
      <c r="M141" s="313" t="s">
        <v>77</v>
      </c>
      <c r="N141" s="315"/>
      <c r="O141" s="313" t="s">
        <v>49</v>
      </c>
      <c r="P141" s="314"/>
      <c r="Q141" s="326">
        <f t="shared" ref="Q141:Z141" si="28">AD141</f>
        <v>0</v>
      </c>
      <c r="R141" s="326">
        <f t="shared" si="28"/>
        <v>0</v>
      </c>
      <c r="S141" s="326">
        <f t="shared" si="28"/>
        <v>0</v>
      </c>
      <c r="T141" s="326">
        <f t="shared" si="28"/>
        <v>0</v>
      </c>
      <c r="U141" s="326">
        <f t="shared" si="28"/>
        <v>0</v>
      </c>
      <c r="V141" s="326">
        <f t="shared" si="28"/>
        <v>0</v>
      </c>
      <c r="W141" s="326">
        <f t="shared" si="28"/>
        <v>0</v>
      </c>
      <c r="X141" s="326">
        <f t="shared" si="28"/>
        <v>0</v>
      </c>
      <c r="Y141" s="326">
        <f t="shared" si="28"/>
        <v>0</v>
      </c>
      <c r="Z141" s="326">
        <f t="shared" si="28"/>
        <v>0</v>
      </c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</row>
    <row r="142" spans="2:41" ht="14.4" thickTop="1" thickBot="1">
      <c r="B142" s="324"/>
      <c r="C142" s="305"/>
      <c r="D142" s="306"/>
      <c r="E142" s="306"/>
      <c r="F142" s="307"/>
      <c r="G142" s="312"/>
      <c r="H142" s="65" t="s">
        <v>80</v>
      </c>
      <c r="I142" s="66">
        <v>0.2</v>
      </c>
      <c r="J142" s="316"/>
      <c r="K142" s="317"/>
      <c r="L142" s="318"/>
      <c r="M142" s="316"/>
      <c r="N142" s="318"/>
      <c r="O142" s="316"/>
      <c r="P142" s="322"/>
      <c r="Q142" s="326"/>
      <c r="R142" s="326"/>
      <c r="S142" s="326"/>
      <c r="T142" s="326"/>
      <c r="U142" s="326"/>
      <c r="V142" s="326"/>
      <c r="W142" s="326"/>
      <c r="X142" s="326"/>
      <c r="Y142" s="326"/>
      <c r="Z142" s="326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</row>
    <row r="143" spans="2:41" ht="14.4" thickTop="1" thickBot="1">
      <c r="B143" s="324"/>
      <c r="C143" s="308"/>
      <c r="D143" s="309"/>
      <c r="E143" s="309"/>
      <c r="F143" s="310"/>
      <c r="G143" s="296" t="s">
        <v>78</v>
      </c>
      <c r="H143" s="297"/>
      <c r="I143" s="298"/>
      <c r="J143" s="319"/>
      <c r="K143" s="320"/>
      <c r="L143" s="321"/>
      <c r="M143" s="319"/>
      <c r="N143" s="321"/>
      <c r="O143" s="319"/>
      <c r="P143" s="320"/>
      <c r="Q143" s="326"/>
      <c r="R143" s="326"/>
      <c r="S143" s="326"/>
      <c r="T143" s="326"/>
      <c r="U143" s="326"/>
      <c r="V143" s="326"/>
      <c r="W143" s="326"/>
      <c r="X143" s="326"/>
      <c r="Y143" s="326"/>
      <c r="Z143" s="326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</row>
    <row r="144" spans="2:41" ht="14.4" thickTop="1" thickBot="1">
      <c r="B144" s="324"/>
      <c r="C144" s="302" t="s">
        <v>55</v>
      </c>
      <c r="D144" s="303"/>
      <c r="E144" s="303"/>
      <c r="F144" s="304"/>
      <c r="G144" s="311">
        <v>24.5</v>
      </c>
      <c r="H144" s="63" t="s">
        <v>79</v>
      </c>
      <c r="I144" s="64">
        <v>0.2</v>
      </c>
      <c r="J144" s="313" t="s">
        <v>7</v>
      </c>
      <c r="K144" s="314"/>
      <c r="L144" s="315"/>
      <c r="M144" s="313" t="s">
        <v>77</v>
      </c>
      <c r="N144" s="315"/>
      <c r="O144" s="313" t="s">
        <v>49</v>
      </c>
      <c r="P144" s="314"/>
      <c r="Q144" s="326">
        <f t="shared" ref="Q144:Z144" si="29">AD144</f>
        <v>0</v>
      </c>
      <c r="R144" s="326">
        <f t="shared" si="29"/>
        <v>0</v>
      </c>
      <c r="S144" s="326">
        <f t="shared" si="29"/>
        <v>0</v>
      </c>
      <c r="T144" s="326">
        <f t="shared" si="29"/>
        <v>0</v>
      </c>
      <c r="U144" s="326">
        <f t="shared" si="29"/>
        <v>0</v>
      </c>
      <c r="V144" s="326">
        <f t="shared" si="29"/>
        <v>0</v>
      </c>
      <c r="W144" s="326">
        <f t="shared" si="29"/>
        <v>0</v>
      </c>
      <c r="X144" s="326">
        <f t="shared" si="29"/>
        <v>0</v>
      </c>
      <c r="Y144" s="326">
        <f t="shared" si="29"/>
        <v>0</v>
      </c>
      <c r="Z144" s="326">
        <f t="shared" si="29"/>
        <v>0</v>
      </c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</row>
    <row r="145" spans="1:41" ht="14.4" thickTop="1" thickBot="1">
      <c r="B145" s="324"/>
      <c r="C145" s="305"/>
      <c r="D145" s="306"/>
      <c r="E145" s="306"/>
      <c r="F145" s="307"/>
      <c r="G145" s="312"/>
      <c r="H145" s="65" t="s">
        <v>80</v>
      </c>
      <c r="I145" s="66">
        <v>0.2</v>
      </c>
      <c r="J145" s="316"/>
      <c r="K145" s="317"/>
      <c r="L145" s="318"/>
      <c r="M145" s="316"/>
      <c r="N145" s="318"/>
      <c r="O145" s="316"/>
      <c r="P145" s="322"/>
      <c r="Q145" s="326"/>
      <c r="R145" s="326"/>
      <c r="S145" s="326"/>
      <c r="T145" s="326"/>
      <c r="U145" s="326"/>
      <c r="V145" s="326"/>
      <c r="W145" s="326"/>
      <c r="X145" s="326"/>
      <c r="Y145" s="326"/>
      <c r="Z145" s="326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</row>
    <row r="146" spans="1:41" ht="14.4" thickTop="1" thickBot="1">
      <c r="B146" s="325"/>
      <c r="C146" s="308"/>
      <c r="D146" s="309"/>
      <c r="E146" s="309"/>
      <c r="F146" s="310"/>
      <c r="G146" s="296" t="s">
        <v>78</v>
      </c>
      <c r="H146" s="297"/>
      <c r="I146" s="298"/>
      <c r="J146" s="319"/>
      <c r="K146" s="320"/>
      <c r="L146" s="321"/>
      <c r="M146" s="319"/>
      <c r="N146" s="321"/>
      <c r="O146" s="319"/>
      <c r="P146" s="320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</row>
    <row r="147" spans="1:41" ht="14.4" thickTop="1" thickBot="1">
      <c r="A147" s="67"/>
      <c r="B147" s="323" t="s">
        <v>35</v>
      </c>
      <c r="C147" s="302" t="s">
        <v>54</v>
      </c>
      <c r="D147" s="303"/>
      <c r="E147" s="303"/>
      <c r="F147" s="304"/>
      <c r="G147" s="311">
        <v>54.5</v>
      </c>
      <c r="H147" s="63" t="s">
        <v>79</v>
      </c>
      <c r="I147" s="64">
        <v>0.2</v>
      </c>
      <c r="J147" s="313" t="s">
        <v>7</v>
      </c>
      <c r="K147" s="314"/>
      <c r="L147" s="315"/>
      <c r="M147" s="313" t="s">
        <v>77</v>
      </c>
      <c r="N147" s="315"/>
      <c r="O147" s="313" t="s">
        <v>49</v>
      </c>
      <c r="P147" s="314"/>
      <c r="Q147" s="326">
        <f t="shared" ref="Q147:Z147" si="30">AD147</f>
        <v>0</v>
      </c>
      <c r="R147" s="326">
        <f t="shared" si="30"/>
        <v>0</v>
      </c>
      <c r="S147" s="326">
        <f t="shared" si="30"/>
        <v>0</v>
      </c>
      <c r="T147" s="326">
        <f t="shared" si="30"/>
        <v>0</v>
      </c>
      <c r="U147" s="326">
        <f t="shared" si="30"/>
        <v>0</v>
      </c>
      <c r="V147" s="326">
        <f t="shared" si="30"/>
        <v>0</v>
      </c>
      <c r="W147" s="326">
        <f t="shared" si="30"/>
        <v>0</v>
      </c>
      <c r="X147" s="326">
        <f t="shared" si="30"/>
        <v>0</v>
      </c>
      <c r="Y147" s="326">
        <f t="shared" si="30"/>
        <v>0</v>
      </c>
      <c r="Z147" s="326">
        <f t="shared" si="30"/>
        <v>0</v>
      </c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</row>
    <row r="148" spans="1:41" ht="14.4" thickTop="1" thickBot="1">
      <c r="A148" s="67"/>
      <c r="B148" s="324"/>
      <c r="C148" s="305"/>
      <c r="D148" s="306"/>
      <c r="E148" s="306"/>
      <c r="F148" s="307"/>
      <c r="G148" s="312"/>
      <c r="H148" s="65" t="s">
        <v>80</v>
      </c>
      <c r="I148" s="66">
        <v>0.2</v>
      </c>
      <c r="J148" s="316"/>
      <c r="K148" s="317"/>
      <c r="L148" s="318"/>
      <c r="M148" s="316"/>
      <c r="N148" s="318"/>
      <c r="O148" s="316"/>
      <c r="P148" s="322"/>
      <c r="Q148" s="326"/>
      <c r="R148" s="326"/>
      <c r="S148" s="326"/>
      <c r="T148" s="326"/>
      <c r="U148" s="326"/>
      <c r="V148" s="326"/>
      <c r="W148" s="326"/>
      <c r="X148" s="326"/>
      <c r="Y148" s="326"/>
      <c r="Z148" s="326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</row>
    <row r="149" spans="1:41" ht="14.4" thickTop="1" thickBot="1">
      <c r="A149" s="67"/>
      <c r="B149" s="324"/>
      <c r="C149" s="308"/>
      <c r="D149" s="309"/>
      <c r="E149" s="309"/>
      <c r="F149" s="310"/>
      <c r="G149" s="296" t="s">
        <v>78</v>
      </c>
      <c r="H149" s="297"/>
      <c r="I149" s="298"/>
      <c r="J149" s="319"/>
      <c r="K149" s="320"/>
      <c r="L149" s="321"/>
      <c r="M149" s="319"/>
      <c r="N149" s="321"/>
      <c r="O149" s="319"/>
      <c r="P149" s="320"/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</row>
    <row r="150" spans="1:41" ht="14.4" thickTop="1" thickBot="1">
      <c r="A150" s="67"/>
      <c r="B150" s="324"/>
      <c r="C150" s="302" t="s">
        <v>55</v>
      </c>
      <c r="D150" s="303"/>
      <c r="E150" s="303"/>
      <c r="F150" s="304"/>
      <c r="G150" s="311">
        <v>12.5</v>
      </c>
      <c r="H150" s="63" t="s">
        <v>79</v>
      </c>
      <c r="I150" s="64">
        <v>0.2</v>
      </c>
      <c r="J150" s="313" t="s">
        <v>7</v>
      </c>
      <c r="K150" s="314"/>
      <c r="L150" s="315"/>
      <c r="M150" s="313" t="s">
        <v>77</v>
      </c>
      <c r="N150" s="315"/>
      <c r="O150" s="313" t="s">
        <v>49</v>
      </c>
      <c r="P150" s="314"/>
      <c r="Q150" s="326">
        <f t="shared" ref="Q150:Z150" si="31">AD150</f>
        <v>0</v>
      </c>
      <c r="R150" s="326">
        <f t="shared" si="31"/>
        <v>0</v>
      </c>
      <c r="S150" s="326">
        <f t="shared" si="31"/>
        <v>0</v>
      </c>
      <c r="T150" s="326">
        <f t="shared" si="31"/>
        <v>0</v>
      </c>
      <c r="U150" s="326">
        <f t="shared" si="31"/>
        <v>0</v>
      </c>
      <c r="V150" s="326">
        <f t="shared" si="31"/>
        <v>0</v>
      </c>
      <c r="W150" s="326">
        <f t="shared" si="31"/>
        <v>0</v>
      </c>
      <c r="X150" s="326">
        <f t="shared" si="31"/>
        <v>0</v>
      </c>
      <c r="Y150" s="326">
        <f t="shared" si="31"/>
        <v>0</v>
      </c>
      <c r="Z150" s="326">
        <f t="shared" si="31"/>
        <v>0</v>
      </c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</row>
    <row r="151" spans="1:41" ht="14.4" thickTop="1" thickBot="1">
      <c r="A151" s="67"/>
      <c r="B151" s="324"/>
      <c r="C151" s="305"/>
      <c r="D151" s="306"/>
      <c r="E151" s="306"/>
      <c r="F151" s="307"/>
      <c r="G151" s="312"/>
      <c r="H151" s="65" t="s">
        <v>80</v>
      </c>
      <c r="I151" s="66">
        <v>0.2</v>
      </c>
      <c r="J151" s="316"/>
      <c r="K151" s="317"/>
      <c r="L151" s="318"/>
      <c r="M151" s="316"/>
      <c r="N151" s="318"/>
      <c r="O151" s="316"/>
      <c r="P151" s="322"/>
      <c r="Q151" s="326"/>
      <c r="R151" s="326"/>
      <c r="S151" s="326"/>
      <c r="T151" s="326"/>
      <c r="U151" s="326"/>
      <c r="V151" s="326"/>
      <c r="W151" s="326"/>
      <c r="X151" s="326"/>
      <c r="Y151" s="326"/>
      <c r="Z151" s="326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</row>
    <row r="152" spans="1:41" ht="14.4" thickTop="1" thickBot="1">
      <c r="A152" s="67"/>
      <c r="B152" s="324"/>
      <c r="C152" s="308"/>
      <c r="D152" s="309"/>
      <c r="E152" s="309"/>
      <c r="F152" s="310"/>
      <c r="G152" s="296" t="s">
        <v>78</v>
      </c>
      <c r="H152" s="297"/>
      <c r="I152" s="298"/>
      <c r="J152" s="319"/>
      <c r="K152" s="320"/>
      <c r="L152" s="321"/>
      <c r="M152" s="319"/>
      <c r="N152" s="321"/>
      <c r="O152" s="319"/>
      <c r="P152" s="320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</row>
    <row r="153" spans="1:41" ht="14.4" thickTop="1" thickBot="1">
      <c r="B153" s="324"/>
      <c r="C153" s="302" t="s">
        <v>92</v>
      </c>
      <c r="D153" s="303"/>
      <c r="E153" s="303"/>
      <c r="F153" s="304"/>
      <c r="G153" s="311">
        <v>20.8</v>
      </c>
      <c r="H153" s="63" t="s">
        <v>79</v>
      </c>
      <c r="I153" s="64">
        <v>0.2</v>
      </c>
      <c r="J153" s="313" t="s">
        <v>7</v>
      </c>
      <c r="K153" s="314"/>
      <c r="L153" s="315"/>
      <c r="M153" s="313" t="s">
        <v>77</v>
      </c>
      <c r="N153" s="315"/>
      <c r="O153" s="313" t="s">
        <v>49</v>
      </c>
      <c r="P153" s="314"/>
      <c r="Q153" s="326">
        <f t="shared" ref="Q153:Z153" si="32">AD153</f>
        <v>0</v>
      </c>
      <c r="R153" s="326">
        <f t="shared" si="32"/>
        <v>0</v>
      </c>
      <c r="S153" s="326">
        <f t="shared" si="32"/>
        <v>0</v>
      </c>
      <c r="T153" s="326">
        <f t="shared" si="32"/>
        <v>0</v>
      </c>
      <c r="U153" s="326">
        <f t="shared" si="32"/>
        <v>0</v>
      </c>
      <c r="V153" s="326">
        <f t="shared" si="32"/>
        <v>0</v>
      </c>
      <c r="W153" s="326">
        <f t="shared" si="32"/>
        <v>0</v>
      </c>
      <c r="X153" s="326">
        <f t="shared" si="32"/>
        <v>0</v>
      </c>
      <c r="Y153" s="326">
        <f t="shared" si="32"/>
        <v>0</v>
      </c>
      <c r="Z153" s="419">
        <f t="shared" si="32"/>
        <v>0</v>
      </c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</row>
    <row r="154" spans="1:41" ht="14.4" thickTop="1" thickBot="1">
      <c r="B154" s="324"/>
      <c r="C154" s="305"/>
      <c r="D154" s="306"/>
      <c r="E154" s="306"/>
      <c r="F154" s="307"/>
      <c r="G154" s="312"/>
      <c r="H154" s="65" t="s">
        <v>80</v>
      </c>
      <c r="I154" s="66">
        <v>0.2</v>
      </c>
      <c r="J154" s="316"/>
      <c r="K154" s="317"/>
      <c r="L154" s="318"/>
      <c r="M154" s="316"/>
      <c r="N154" s="318"/>
      <c r="O154" s="316"/>
      <c r="P154" s="322"/>
      <c r="Q154" s="326"/>
      <c r="R154" s="326"/>
      <c r="S154" s="326"/>
      <c r="T154" s="326"/>
      <c r="U154" s="326"/>
      <c r="V154" s="326"/>
      <c r="W154" s="326"/>
      <c r="X154" s="326"/>
      <c r="Y154" s="326"/>
      <c r="Z154" s="419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</row>
    <row r="155" spans="1:41" ht="14.4" thickTop="1" thickBot="1">
      <c r="B155" s="324"/>
      <c r="C155" s="308"/>
      <c r="D155" s="309"/>
      <c r="E155" s="309"/>
      <c r="F155" s="310"/>
      <c r="G155" s="296" t="s">
        <v>78</v>
      </c>
      <c r="H155" s="297"/>
      <c r="I155" s="298"/>
      <c r="J155" s="319"/>
      <c r="K155" s="320"/>
      <c r="L155" s="321"/>
      <c r="M155" s="319"/>
      <c r="N155" s="321"/>
      <c r="O155" s="319"/>
      <c r="P155" s="320"/>
      <c r="Q155" s="326"/>
      <c r="R155" s="326"/>
      <c r="S155" s="326"/>
      <c r="T155" s="326"/>
      <c r="U155" s="326"/>
      <c r="V155" s="326"/>
      <c r="W155" s="326"/>
      <c r="X155" s="326"/>
      <c r="Y155" s="326"/>
      <c r="Z155" s="419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</row>
    <row r="156" spans="1:41" ht="14.4" thickTop="1" thickBot="1">
      <c r="B156" s="324"/>
      <c r="C156" s="302" t="s">
        <v>36</v>
      </c>
      <c r="D156" s="303"/>
      <c r="E156" s="303"/>
      <c r="F156" s="304"/>
      <c r="G156" s="311">
        <v>40</v>
      </c>
      <c r="H156" s="63" t="s">
        <v>79</v>
      </c>
      <c r="I156" s="64" t="s">
        <v>93</v>
      </c>
      <c r="J156" s="313" t="s">
        <v>7</v>
      </c>
      <c r="K156" s="314"/>
      <c r="L156" s="315"/>
      <c r="M156" s="313" t="s">
        <v>77</v>
      </c>
      <c r="N156" s="315"/>
      <c r="O156" s="313" t="s">
        <v>49</v>
      </c>
      <c r="P156" s="314"/>
      <c r="Q156" s="356">
        <f t="shared" ref="Q156:Z156" si="33">AD156</f>
        <v>0</v>
      </c>
      <c r="R156" s="356">
        <f t="shared" si="33"/>
        <v>0</v>
      </c>
      <c r="S156" s="356">
        <f t="shared" si="33"/>
        <v>0</v>
      </c>
      <c r="T156" s="356">
        <f t="shared" si="33"/>
        <v>0</v>
      </c>
      <c r="U156" s="356">
        <f t="shared" si="33"/>
        <v>0</v>
      </c>
      <c r="V156" s="356">
        <f t="shared" si="33"/>
        <v>0</v>
      </c>
      <c r="W156" s="356">
        <f t="shared" si="33"/>
        <v>0</v>
      </c>
      <c r="X156" s="356">
        <f t="shared" si="33"/>
        <v>0</v>
      </c>
      <c r="Y156" s="356">
        <f t="shared" si="33"/>
        <v>0</v>
      </c>
      <c r="Z156" s="356">
        <f t="shared" si="33"/>
        <v>0</v>
      </c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</row>
    <row r="157" spans="1:41" ht="14.4" thickTop="1" thickBot="1">
      <c r="B157" s="324"/>
      <c r="C157" s="305"/>
      <c r="D157" s="306"/>
      <c r="E157" s="306"/>
      <c r="F157" s="307"/>
      <c r="G157" s="312"/>
      <c r="H157" s="65" t="s">
        <v>80</v>
      </c>
      <c r="I157" s="64" t="s">
        <v>93</v>
      </c>
      <c r="J157" s="316"/>
      <c r="K157" s="317"/>
      <c r="L157" s="318"/>
      <c r="M157" s="316"/>
      <c r="N157" s="318"/>
      <c r="O157" s="316"/>
      <c r="P157" s="322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</row>
    <row r="158" spans="1:41" ht="14.4" thickTop="1" thickBot="1">
      <c r="B158" s="325"/>
      <c r="C158" s="308"/>
      <c r="D158" s="309"/>
      <c r="E158" s="309"/>
      <c r="F158" s="310"/>
      <c r="G158" s="296" t="s">
        <v>78</v>
      </c>
      <c r="H158" s="297"/>
      <c r="I158" s="298"/>
      <c r="J158" s="319"/>
      <c r="K158" s="320"/>
      <c r="L158" s="321"/>
      <c r="M158" s="319"/>
      <c r="N158" s="321"/>
      <c r="O158" s="319"/>
      <c r="P158" s="320"/>
      <c r="Q158" s="356"/>
      <c r="R158" s="356"/>
      <c r="S158" s="356"/>
      <c r="T158" s="356"/>
      <c r="U158" s="356"/>
      <c r="V158" s="356"/>
      <c r="W158" s="356"/>
      <c r="X158" s="356"/>
      <c r="Y158" s="356"/>
      <c r="Z158" s="356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</row>
    <row r="159" spans="1:41" ht="14.4" thickTop="1" thickBot="1">
      <c r="B159" s="335" t="s">
        <v>37</v>
      </c>
      <c r="C159" s="337" t="s">
        <v>38</v>
      </c>
      <c r="D159" s="338"/>
      <c r="E159" s="338"/>
      <c r="F159" s="339"/>
      <c r="G159" s="346" t="s">
        <v>94</v>
      </c>
      <c r="H159" s="347"/>
      <c r="I159" s="348"/>
      <c r="J159" s="329" t="s">
        <v>7</v>
      </c>
      <c r="K159" s="330"/>
      <c r="L159" s="352"/>
      <c r="M159" s="329" t="s">
        <v>77</v>
      </c>
      <c r="N159" s="352"/>
      <c r="O159" s="329" t="s">
        <v>49</v>
      </c>
      <c r="P159" s="330"/>
      <c r="Q159" s="327">
        <f t="shared" ref="Q159:Z159" si="34">AD159</f>
        <v>0</v>
      </c>
      <c r="R159" s="327">
        <f t="shared" si="34"/>
        <v>0</v>
      </c>
      <c r="S159" s="327">
        <f t="shared" si="34"/>
        <v>0</v>
      </c>
      <c r="T159" s="327">
        <f t="shared" si="34"/>
        <v>0</v>
      </c>
      <c r="U159" s="327">
        <f t="shared" si="34"/>
        <v>0</v>
      </c>
      <c r="V159" s="327">
        <f t="shared" si="34"/>
        <v>0</v>
      </c>
      <c r="W159" s="327">
        <f t="shared" si="34"/>
        <v>0</v>
      </c>
      <c r="X159" s="327">
        <f t="shared" si="34"/>
        <v>0</v>
      </c>
      <c r="Y159" s="327">
        <f t="shared" si="34"/>
        <v>0</v>
      </c>
      <c r="Z159" s="327">
        <f t="shared" si="34"/>
        <v>0</v>
      </c>
      <c r="AA159" s="415"/>
      <c r="AB159" s="415"/>
      <c r="AC159" s="415"/>
      <c r="AD159" s="415"/>
      <c r="AE159" s="415"/>
      <c r="AF159" s="415"/>
      <c r="AG159" s="415"/>
      <c r="AH159" s="415"/>
      <c r="AI159" s="415"/>
      <c r="AJ159" s="415"/>
      <c r="AK159" s="415"/>
      <c r="AL159" s="415"/>
      <c r="AM159" s="415"/>
      <c r="AN159" s="218"/>
      <c r="AO159" s="218"/>
    </row>
    <row r="160" spans="1:41" ht="14.4" thickTop="1" thickBot="1">
      <c r="B160" s="335"/>
      <c r="C160" s="340"/>
      <c r="D160" s="341"/>
      <c r="E160" s="341"/>
      <c r="F160" s="342"/>
      <c r="G160" s="349"/>
      <c r="H160" s="350"/>
      <c r="I160" s="351"/>
      <c r="J160" s="331"/>
      <c r="K160" s="353"/>
      <c r="L160" s="354"/>
      <c r="M160" s="331"/>
      <c r="N160" s="354"/>
      <c r="O160" s="331"/>
      <c r="P160" s="332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415"/>
      <c r="AB160" s="415"/>
      <c r="AC160" s="415"/>
      <c r="AD160" s="415"/>
      <c r="AE160" s="415"/>
      <c r="AF160" s="415"/>
      <c r="AG160" s="415"/>
      <c r="AH160" s="415"/>
      <c r="AI160" s="415"/>
      <c r="AJ160" s="415"/>
      <c r="AK160" s="415"/>
      <c r="AL160" s="415"/>
      <c r="AM160" s="415"/>
      <c r="AN160" s="218"/>
      <c r="AO160" s="218"/>
    </row>
    <row r="161" spans="2:41" ht="14.4" thickTop="1" thickBot="1">
      <c r="B161" s="336"/>
      <c r="C161" s="343"/>
      <c r="D161" s="344"/>
      <c r="E161" s="344"/>
      <c r="F161" s="345"/>
      <c r="G161" s="240" t="s">
        <v>78</v>
      </c>
      <c r="H161" s="241"/>
      <c r="I161" s="242"/>
      <c r="J161" s="333"/>
      <c r="K161" s="334"/>
      <c r="L161" s="355"/>
      <c r="M161" s="333"/>
      <c r="N161" s="355"/>
      <c r="O161" s="333"/>
      <c r="P161" s="334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415"/>
      <c r="AB161" s="415"/>
      <c r="AC161" s="415"/>
      <c r="AD161" s="415"/>
      <c r="AE161" s="415"/>
      <c r="AF161" s="415"/>
      <c r="AG161" s="415"/>
      <c r="AH161" s="415"/>
      <c r="AI161" s="415"/>
      <c r="AJ161" s="415"/>
      <c r="AK161" s="415"/>
      <c r="AL161" s="415"/>
      <c r="AM161" s="415"/>
      <c r="AN161" s="218"/>
      <c r="AO161" s="218"/>
    </row>
    <row r="162" spans="2:41" ht="15.75" customHeight="1" thickTop="1" thickBot="1">
      <c r="B162" s="323" t="s">
        <v>95</v>
      </c>
      <c r="C162" s="302" t="s">
        <v>54</v>
      </c>
      <c r="D162" s="303"/>
      <c r="E162" s="303"/>
      <c r="F162" s="304"/>
      <c r="G162" s="311">
        <v>28</v>
      </c>
      <c r="H162" s="63" t="s">
        <v>79</v>
      </c>
      <c r="I162" s="64">
        <v>0.2</v>
      </c>
      <c r="J162" s="313" t="s">
        <v>7</v>
      </c>
      <c r="K162" s="314"/>
      <c r="L162" s="315"/>
      <c r="M162" s="313" t="s">
        <v>77</v>
      </c>
      <c r="N162" s="315"/>
      <c r="O162" s="313" t="s">
        <v>49</v>
      </c>
      <c r="P162" s="314"/>
      <c r="Q162" s="326">
        <f>AD162</f>
        <v>0</v>
      </c>
      <c r="R162" s="326">
        <f t="shared" ref="R162:Z162" si="35">AE162</f>
        <v>0</v>
      </c>
      <c r="S162" s="326">
        <f t="shared" si="35"/>
        <v>0</v>
      </c>
      <c r="T162" s="326">
        <f t="shared" si="35"/>
        <v>0</v>
      </c>
      <c r="U162" s="326">
        <f t="shared" si="35"/>
        <v>0</v>
      </c>
      <c r="V162" s="326">
        <f t="shared" si="35"/>
        <v>0</v>
      </c>
      <c r="W162" s="326">
        <f t="shared" si="35"/>
        <v>0</v>
      </c>
      <c r="X162" s="326">
        <f t="shared" si="35"/>
        <v>0</v>
      </c>
      <c r="Y162" s="326">
        <f t="shared" si="35"/>
        <v>0</v>
      </c>
      <c r="Z162" s="326">
        <f t="shared" si="35"/>
        <v>0</v>
      </c>
      <c r="AA162" s="415"/>
      <c r="AB162" s="415"/>
      <c r="AC162" s="415"/>
      <c r="AD162" s="415"/>
      <c r="AE162" s="415"/>
      <c r="AF162" s="415"/>
      <c r="AG162" s="415"/>
      <c r="AH162" s="415"/>
      <c r="AI162" s="415"/>
      <c r="AJ162" s="415"/>
      <c r="AK162" s="415"/>
      <c r="AL162" s="415"/>
      <c r="AM162" s="415"/>
      <c r="AN162" s="218"/>
      <c r="AO162" s="218"/>
    </row>
    <row r="163" spans="2:41" ht="15" customHeight="1" thickTop="1" thickBot="1">
      <c r="B163" s="324"/>
      <c r="C163" s="305"/>
      <c r="D163" s="306"/>
      <c r="E163" s="306"/>
      <c r="F163" s="307"/>
      <c r="G163" s="312"/>
      <c r="H163" s="65" t="s">
        <v>80</v>
      </c>
      <c r="I163" s="66">
        <v>0.2</v>
      </c>
      <c r="J163" s="316"/>
      <c r="K163" s="317"/>
      <c r="L163" s="318"/>
      <c r="M163" s="316"/>
      <c r="N163" s="318"/>
      <c r="O163" s="316"/>
      <c r="P163" s="322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415"/>
      <c r="AB163" s="415"/>
      <c r="AC163" s="415"/>
      <c r="AD163" s="415"/>
      <c r="AE163" s="415"/>
      <c r="AF163" s="415"/>
      <c r="AG163" s="415"/>
      <c r="AH163" s="415"/>
      <c r="AI163" s="415"/>
      <c r="AJ163" s="415"/>
      <c r="AK163" s="415"/>
      <c r="AL163" s="415"/>
      <c r="AM163" s="415"/>
      <c r="AN163" s="218"/>
      <c r="AO163" s="218"/>
    </row>
    <row r="164" spans="2:41" ht="15.75" customHeight="1" thickTop="1" thickBot="1">
      <c r="B164" s="324"/>
      <c r="C164" s="308"/>
      <c r="D164" s="309"/>
      <c r="E164" s="309"/>
      <c r="F164" s="310"/>
      <c r="G164" s="296" t="s">
        <v>78</v>
      </c>
      <c r="H164" s="297"/>
      <c r="I164" s="298"/>
      <c r="J164" s="319"/>
      <c r="K164" s="320"/>
      <c r="L164" s="321"/>
      <c r="M164" s="319"/>
      <c r="N164" s="321"/>
      <c r="O164" s="319"/>
      <c r="P164" s="320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415"/>
      <c r="AB164" s="415"/>
      <c r="AC164" s="415"/>
      <c r="AD164" s="415"/>
      <c r="AE164" s="415"/>
      <c r="AF164" s="415"/>
      <c r="AG164" s="415"/>
      <c r="AH164" s="415"/>
      <c r="AI164" s="415"/>
      <c r="AJ164" s="415"/>
      <c r="AK164" s="415"/>
      <c r="AL164" s="415"/>
      <c r="AM164" s="415"/>
      <c r="AN164" s="218"/>
      <c r="AO164" s="218"/>
    </row>
    <row r="165" spans="2:41" ht="14.4" thickTop="1" thickBot="1">
      <c r="B165" s="324"/>
      <c r="C165" s="302" t="s">
        <v>55</v>
      </c>
      <c r="D165" s="303"/>
      <c r="E165" s="303"/>
      <c r="F165" s="304"/>
      <c r="G165" s="311">
        <v>62</v>
      </c>
      <c r="H165" s="63" t="s">
        <v>79</v>
      </c>
      <c r="I165" s="64">
        <v>0.2</v>
      </c>
      <c r="J165" s="313" t="s">
        <v>7</v>
      </c>
      <c r="K165" s="314"/>
      <c r="L165" s="315"/>
      <c r="M165" s="313" t="s">
        <v>77</v>
      </c>
      <c r="N165" s="315"/>
      <c r="O165" s="313" t="s">
        <v>49</v>
      </c>
      <c r="P165" s="314"/>
      <c r="Q165" s="326">
        <f t="shared" ref="Q165:Z165" si="36">AD165</f>
        <v>0</v>
      </c>
      <c r="R165" s="326">
        <f t="shared" si="36"/>
        <v>0</v>
      </c>
      <c r="S165" s="326">
        <f t="shared" si="36"/>
        <v>0</v>
      </c>
      <c r="T165" s="326">
        <f t="shared" si="36"/>
        <v>0</v>
      </c>
      <c r="U165" s="326">
        <f t="shared" si="36"/>
        <v>0</v>
      </c>
      <c r="V165" s="326">
        <f t="shared" si="36"/>
        <v>0</v>
      </c>
      <c r="W165" s="326">
        <f t="shared" si="36"/>
        <v>0</v>
      </c>
      <c r="X165" s="326">
        <f t="shared" si="36"/>
        <v>0</v>
      </c>
      <c r="Y165" s="326">
        <f t="shared" si="36"/>
        <v>0</v>
      </c>
      <c r="Z165" s="326">
        <f t="shared" si="36"/>
        <v>0</v>
      </c>
      <c r="AA165" s="415"/>
      <c r="AB165" s="415"/>
      <c r="AC165" s="415"/>
      <c r="AD165" s="415"/>
      <c r="AE165" s="415"/>
      <c r="AF165" s="415"/>
      <c r="AG165" s="415"/>
      <c r="AH165" s="415"/>
      <c r="AI165" s="415"/>
      <c r="AJ165" s="415"/>
      <c r="AK165" s="415"/>
      <c r="AL165" s="415"/>
      <c r="AM165" s="415"/>
      <c r="AN165" s="218"/>
      <c r="AO165" s="218"/>
    </row>
    <row r="166" spans="2:41" ht="14.4" thickTop="1" thickBot="1">
      <c r="B166" s="324"/>
      <c r="C166" s="305"/>
      <c r="D166" s="306"/>
      <c r="E166" s="306"/>
      <c r="F166" s="307"/>
      <c r="G166" s="312"/>
      <c r="H166" s="65" t="s">
        <v>80</v>
      </c>
      <c r="I166" s="66">
        <v>0.2</v>
      </c>
      <c r="J166" s="316"/>
      <c r="K166" s="317"/>
      <c r="L166" s="318"/>
      <c r="M166" s="316"/>
      <c r="N166" s="318"/>
      <c r="O166" s="316"/>
      <c r="P166" s="322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415"/>
      <c r="AB166" s="415"/>
      <c r="AC166" s="415"/>
      <c r="AD166" s="415"/>
      <c r="AE166" s="415"/>
      <c r="AF166" s="415"/>
      <c r="AG166" s="415"/>
      <c r="AH166" s="415"/>
      <c r="AI166" s="415"/>
      <c r="AJ166" s="415"/>
      <c r="AK166" s="415"/>
      <c r="AL166" s="415"/>
      <c r="AM166" s="415"/>
      <c r="AN166" s="218"/>
      <c r="AO166" s="218"/>
    </row>
    <row r="167" spans="2:41" ht="14.4" thickTop="1" thickBot="1">
      <c r="B167" s="325"/>
      <c r="C167" s="308"/>
      <c r="D167" s="309"/>
      <c r="E167" s="309"/>
      <c r="F167" s="310"/>
      <c r="G167" s="296" t="s">
        <v>78</v>
      </c>
      <c r="H167" s="297"/>
      <c r="I167" s="298"/>
      <c r="J167" s="319"/>
      <c r="K167" s="320"/>
      <c r="L167" s="321"/>
      <c r="M167" s="319"/>
      <c r="N167" s="321"/>
      <c r="O167" s="319"/>
      <c r="P167" s="320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415"/>
      <c r="AB167" s="415"/>
      <c r="AC167" s="415"/>
      <c r="AD167" s="415"/>
      <c r="AE167" s="415"/>
      <c r="AF167" s="415"/>
      <c r="AG167" s="415"/>
      <c r="AH167" s="415"/>
      <c r="AI167" s="415"/>
      <c r="AJ167" s="415"/>
      <c r="AK167" s="415"/>
      <c r="AL167" s="415"/>
      <c r="AM167" s="415"/>
      <c r="AN167" s="218"/>
      <c r="AO167" s="218"/>
    </row>
    <row r="168" spans="2:41" ht="14.4" thickTop="1" thickBot="1">
      <c r="B168" s="323" t="s">
        <v>96</v>
      </c>
      <c r="C168" s="302" t="s">
        <v>54</v>
      </c>
      <c r="D168" s="303"/>
      <c r="E168" s="303"/>
      <c r="F168" s="304"/>
      <c r="G168" s="311">
        <v>1</v>
      </c>
      <c r="H168" s="63" t="s">
        <v>79</v>
      </c>
      <c r="I168" s="64">
        <v>0.1</v>
      </c>
      <c r="J168" s="313" t="s">
        <v>7</v>
      </c>
      <c r="K168" s="314"/>
      <c r="L168" s="315"/>
      <c r="M168" s="313" t="s">
        <v>77</v>
      </c>
      <c r="N168" s="315"/>
      <c r="O168" s="313" t="s">
        <v>49</v>
      </c>
      <c r="P168" s="314"/>
      <c r="Q168" s="326">
        <f t="shared" ref="Q168:Z168" si="37">AD168</f>
        <v>0</v>
      </c>
      <c r="R168" s="326">
        <f t="shared" si="37"/>
        <v>0</v>
      </c>
      <c r="S168" s="326">
        <f t="shared" si="37"/>
        <v>0</v>
      </c>
      <c r="T168" s="326">
        <f t="shared" si="37"/>
        <v>0</v>
      </c>
      <c r="U168" s="326">
        <f t="shared" si="37"/>
        <v>0</v>
      </c>
      <c r="V168" s="326">
        <f t="shared" si="37"/>
        <v>0</v>
      </c>
      <c r="W168" s="326">
        <f t="shared" si="37"/>
        <v>0</v>
      </c>
      <c r="X168" s="326">
        <f t="shared" si="37"/>
        <v>0</v>
      </c>
      <c r="Y168" s="326">
        <f t="shared" si="37"/>
        <v>0</v>
      </c>
      <c r="Z168" s="326">
        <f t="shared" si="37"/>
        <v>0</v>
      </c>
      <c r="AA168" s="415"/>
      <c r="AB168" s="415"/>
      <c r="AC168" s="415"/>
      <c r="AD168" s="415"/>
      <c r="AE168" s="415"/>
      <c r="AF168" s="415"/>
      <c r="AG168" s="415"/>
      <c r="AH168" s="415"/>
      <c r="AI168" s="415"/>
      <c r="AJ168" s="415"/>
      <c r="AK168" s="415"/>
      <c r="AL168" s="415"/>
      <c r="AM168" s="415"/>
      <c r="AN168" s="218"/>
      <c r="AO168" s="218"/>
    </row>
    <row r="169" spans="2:41" ht="14.4" thickTop="1" thickBot="1">
      <c r="B169" s="324"/>
      <c r="C169" s="305"/>
      <c r="D169" s="306"/>
      <c r="E169" s="306"/>
      <c r="F169" s="307"/>
      <c r="G169" s="312"/>
      <c r="H169" s="65" t="s">
        <v>80</v>
      </c>
      <c r="I169" s="66">
        <v>0.1</v>
      </c>
      <c r="J169" s="316"/>
      <c r="K169" s="317"/>
      <c r="L169" s="318"/>
      <c r="M169" s="316"/>
      <c r="N169" s="318"/>
      <c r="O169" s="316"/>
      <c r="P169" s="322"/>
      <c r="Q169" s="326"/>
      <c r="R169" s="326"/>
      <c r="S169" s="326"/>
      <c r="T169" s="326"/>
      <c r="U169" s="326"/>
      <c r="V169" s="326"/>
      <c r="W169" s="326"/>
      <c r="X169" s="326"/>
      <c r="Y169" s="326"/>
      <c r="Z169" s="326"/>
      <c r="AA169" s="415"/>
      <c r="AB169" s="415"/>
      <c r="AC169" s="415"/>
      <c r="AD169" s="415"/>
      <c r="AE169" s="415"/>
      <c r="AF169" s="415"/>
      <c r="AG169" s="415"/>
      <c r="AH169" s="415"/>
      <c r="AI169" s="415"/>
      <c r="AJ169" s="415"/>
      <c r="AK169" s="415"/>
      <c r="AL169" s="415"/>
      <c r="AM169" s="415"/>
      <c r="AN169" s="218"/>
      <c r="AO169" s="218"/>
    </row>
    <row r="170" spans="2:41" ht="14.4" thickTop="1" thickBot="1">
      <c r="B170" s="324"/>
      <c r="C170" s="308"/>
      <c r="D170" s="309"/>
      <c r="E170" s="309"/>
      <c r="F170" s="310"/>
      <c r="G170" s="296" t="s">
        <v>78</v>
      </c>
      <c r="H170" s="297"/>
      <c r="I170" s="298"/>
      <c r="J170" s="319"/>
      <c r="K170" s="320"/>
      <c r="L170" s="321"/>
      <c r="M170" s="319"/>
      <c r="N170" s="321"/>
      <c r="O170" s="319"/>
      <c r="P170" s="320"/>
      <c r="Q170" s="326"/>
      <c r="R170" s="326"/>
      <c r="S170" s="326"/>
      <c r="T170" s="326"/>
      <c r="U170" s="326"/>
      <c r="V170" s="326"/>
      <c r="W170" s="326"/>
      <c r="X170" s="326"/>
      <c r="Y170" s="326"/>
      <c r="Z170" s="326"/>
      <c r="AA170" s="415"/>
      <c r="AB170" s="415"/>
      <c r="AC170" s="415"/>
      <c r="AD170" s="415"/>
      <c r="AE170" s="415"/>
      <c r="AF170" s="415"/>
      <c r="AG170" s="415"/>
      <c r="AH170" s="415"/>
      <c r="AI170" s="415"/>
      <c r="AJ170" s="415"/>
      <c r="AK170" s="415"/>
      <c r="AL170" s="415"/>
      <c r="AM170" s="415"/>
      <c r="AN170" s="218"/>
      <c r="AO170" s="218"/>
    </row>
    <row r="171" spans="2:41" ht="14.4" thickTop="1" thickBot="1">
      <c r="B171" s="324"/>
      <c r="C171" s="302" t="s">
        <v>55</v>
      </c>
      <c r="D171" s="303"/>
      <c r="E171" s="303"/>
      <c r="F171" s="304"/>
      <c r="G171" s="311">
        <v>52</v>
      </c>
      <c r="H171" s="63" t="s">
        <v>79</v>
      </c>
      <c r="I171" s="64">
        <v>0.15</v>
      </c>
      <c r="J171" s="313" t="s">
        <v>7</v>
      </c>
      <c r="K171" s="314"/>
      <c r="L171" s="315"/>
      <c r="M171" s="313" t="s">
        <v>77</v>
      </c>
      <c r="N171" s="315"/>
      <c r="O171" s="313" t="s">
        <v>49</v>
      </c>
      <c r="P171" s="314"/>
      <c r="Q171" s="299">
        <f t="shared" ref="Q171:Z171" si="38">AD171</f>
        <v>0</v>
      </c>
      <c r="R171" s="299">
        <f t="shared" si="38"/>
        <v>0</v>
      </c>
      <c r="S171" s="299">
        <f t="shared" si="38"/>
        <v>0</v>
      </c>
      <c r="T171" s="299">
        <f t="shared" si="38"/>
        <v>0</v>
      </c>
      <c r="U171" s="299">
        <f t="shared" si="38"/>
        <v>0</v>
      </c>
      <c r="V171" s="299">
        <f t="shared" si="38"/>
        <v>0</v>
      </c>
      <c r="W171" s="299">
        <f t="shared" si="38"/>
        <v>0</v>
      </c>
      <c r="X171" s="299">
        <f t="shared" si="38"/>
        <v>0</v>
      </c>
      <c r="Y171" s="299">
        <f t="shared" si="38"/>
        <v>0</v>
      </c>
      <c r="Z171" s="299">
        <f t="shared" si="38"/>
        <v>0</v>
      </c>
      <c r="AA171" s="415"/>
      <c r="AB171" s="415"/>
      <c r="AC171" s="415"/>
      <c r="AD171" s="415"/>
      <c r="AE171" s="415"/>
      <c r="AF171" s="415"/>
      <c r="AG171" s="415"/>
      <c r="AH171" s="415"/>
      <c r="AI171" s="415"/>
      <c r="AJ171" s="415"/>
      <c r="AK171" s="415"/>
      <c r="AL171" s="415"/>
      <c r="AM171" s="415"/>
      <c r="AN171" s="218"/>
      <c r="AO171" s="218"/>
    </row>
    <row r="172" spans="2:41" ht="14.4" thickTop="1" thickBot="1">
      <c r="B172" s="324"/>
      <c r="C172" s="305"/>
      <c r="D172" s="306"/>
      <c r="E172" s="306"/>
      <c r="F172" s="307"/>
      <c r="G172" s="312"/>
      <c r="H172" s="65" t="s">
        <v>80</v>
      </c>
      <c r="I172" s="66">
        <v>0.15</v>
      </c>
      <c r="J172" s="316"/>
      <c r="K172" s="317"/>
      <c r="L172" s="318"/>
      <c r="M172" s="316"/>
      <c r="N172" s="318"/>
      <c r="O172" s="316"/>
      <c r="P172" s="322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  <c r="AA172" s="415"/>
      <c r="AB172" s="415"/>
      <c r="AC172" s="415"/>
      <c r="AD172" s="415"/>
      <c r="AE172" s="415"/>
      <c r="AF172" s="415"/>
      <c r="AG172" s="415"/>
      <c r="AH172" s="415"/>
      <c r="AI172" s="415"/>
      <c r="AJ172" s="415"/>
      <c r="AK172" s="415"/>
      <c r="AL172" s="415"/>
      <c r="AM172" s="415"/>
      <c r="AN172" s="218"/>
      <c r="AO172" s="218"/>
    </row>
    <row r="173" spans="2:41" ht="14.4" thickTop="1" thickBot="1">
      <c r="B173" s="325"/>
      <c r="C173" s="308"/>
      <c r="D173" s="309"/>
      <c r="E173" s="309"/>
      <c r="F173" s="310"/>
      <c r="G173" s="296" t="s">
        <v>78</v>
      </c>
      <c r="H173" s="297"/>
      <c r="I173" s="298"/>
      <c r="J173" s="319"/>
      <c r="K173" s="320"/>
      <c r="L173" s="321"/>
      <c r="M173" s="319"/>
      <c r="N173" s="321"/>
      <c r="O173" s="319"/>
      <c r="P173" s="32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415"/>
      <c r="AB173" s="415"/>
      <c r="AC173" s="415"/>
      <c r="AD173" s="415"/>
      <c r="AE173" s="415"/>
      <c r="AF173" s="415"/>
      <c r="AG173" s="415"/>
      <c r="AH173" s="415"/>
      <c r="AI173" s="415"/>
      <c r="AJ173" s="415"/>
      <c r="AK173" s="415"/>
      <c r="AL173" s="415"/>
      <c r="AM173" s="415"/>
      <c r="AN173" s="218"/>
      <c r="AO173" s="218"/>
    </row>
    <row r="174" spans="2:41" ht="14.4" thickTop="1" thickBot="1">
      <c r="B174" s="323" t="s">
        <v>97</v>
      </c>
      <c r="C174" s="302" t="s">
        <v>54</v>
      </c>
      <c r="D174" s="303"/>
      <c r="E174" s="303"/>
      <c r="F174" s="304"/>
      <c r="G174" s="311">
        <v>53</v>
      </c>
      <c r="H174" s="63" t="s">
        <v>79</v>
      </c>
      <c r="I174" s="64">
        <v>0.15</v>
      </c>
      <c r="J174" s="313" t="s">
        <v>7</v>
      </c>
      <c r="K174" s="314"/>
      <c r="L174" s="315"/>
      <c r="M174" s="313" t="s">
        <v>77</v>
      </c>
      <c r="N174" s="315"/>
      <c r="O174" s="313" t="s">
        <v>49</v>
      </c>
      <c r="P174" s="314"/>
      <c r="Q174" s="299">
        <f t="shared" ref="Q174:Z174" si="39">AD174</f>
        <v>0</v>
      </c>
      <c r="R174" s="299">
        <f t="shared" si="39"/>
        <v>0</v>
      </c>
      <c r="S174" s="299">
        <f t="shared" si="39"/>
        <v>0</v>
      </c>
      <c r="T174" s="299">
        <f t="shared" si="39"/>
        <v>0</v>
      </c>
      <c r="U174" s="299">
        <f t="shared" si="39"/>
        <v>0</v>
      </c>
      <c r="V174" s="299">
        <f t="shared" si="39"/>
        <v>0</v>
      </c>
      <c r="W174" s="299">
        <f t="shared" si="39"/>
        <v>0</v>
      </c>
      <c r="X174" s="299">
        <f t="shared" si="39"/>
        <v>0</v>
      </c>
      <c r="Y174" s="299">
        <f t="shared" si="39"/>
        <v>0</v>
      </c>
      <c r="Z174" s="299">
        <f t="shared" si="39"/>
        <v>0</v>
      </c>
      <c r="AA174" s="415"/>
      <c r="AB174" s="415"/>
      <c r="AC174" s="415"/>
      <c r="AD174" s="415"/>
      <c r="AE174" s="415"/>
      <c r="AF174" s="415"/>
      <c r="AG174" s="415"/>
      <c r="AH174" s="415"/>
      <c r="AI174" s="415"/>
      <c r="AJ174" s="415"/>
      <c r="AK174" s="415"/>
      <c r="AL174" s="415"/>
      <c r="AM174" s="415"/>
      <c r="AN174" s="218"/>
      <c r="AO174" s="218"/>
    </row>
    <row r="175" spans="2:41" ht="14.4" thickTop="1" thickBot="1">
      <c r="B175" s="324"/>
      <c r="C175" s="305"/>
      <c r="D175" s="306"/>
      <c r="E175" s="306"/>
      <c r="F175" s="307"/>
      <c r="G175" s="312"/>
      <c r="H175" s="65" t="s">
        <v>80</v>
      </c>
      <c r="I175" s="66">
        <v>0.15</v>
      </c>
      <c r="J175" s="316"/>
      <c r="K175" s="317"/>
      <c r="L175" s="318"/>
      <c r="M175" s="316"/>
      <c r="N175" s="318"/>
      <c r="O175" s="316"/>
      <c r="P175" s="322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  <c r="AA175" s="415"/>
      <c r="AB175" s="415"/>
      <c r="AC175" s="415"/>
      <c r="AD175" s="415"/>
      <c r="AE175" s="415"/>
      <c r="AF175" s="415"/>
      <c r="AG175" s="415"/>
      <c r="AH175" s="415"/>
      <c r="AI175" s="415"/>
      <c r="AJ175" s="415"/>
      <c r="AK175" s="415"/>
      <c r="AL175" s="415"/>
      <c r="AM175" s="415"/>
      <c r="AN175" s="218"/>
      <c r="AO175" s="218"/>
    </row>
    <row r="176" spans="2:41" ht="14.4" thickTop="1" thickBot="1">
      <c r="B176" s="324"/>
      <c r="C176" s="308"/>
      <c r="D176" s="309"/>
      <c r="E176" s="309"/>
      <c r="F176" s="310"/>
      <c r="G176" s="296" t="s">
        <v>78</v>
      </c>
      <c r="H176" s="297"/>
      <c r="I176" s="298"/>
      <c r="J176" s="319"/>
      <c r="K176" s="320"/>
      <c r="L176" s="321"/>
      <c r="M176" s="319"/>
      <c r="N176" s="321"/>
      <c r="O176" s="319"/>
      <c r="P176" s="32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  <c r="AA176" s="415"/>
      <c r="AB176" s="415"/>
      <c r="AC176" s="415"/>
      <c r="AD176" s="415"/>
      <c r="AE176" s="415"/>
      <c r="AF176" s="415"/>
      <c r="AG176" s="415"/>
      <c r="AH176" s="415"/>
      <c r="AI176" s="415"/>
      <c r="AJ176" s="415"/>
      <c r="AK176" s="415"/>
      <c r="AL176" s="415"/>
      <c r="AM176" s="415"/>
      <c r="AN176" s="218"/>
      <c r="AO176" s="218"/>
    </row>
    <row r="177" spans="1:41" ht="14.4" thickTop="1" thickBot="1">
      <c r="B177" s="324"/>
      <c r="C177" s="302" t="s">
        <v>55</v>
      </c>
      <c r="D177" s="303"/>
      <c r="E177" s="303"/>
      <c r="F177" s="304"/>
      <c r="G177" s="311">
        <v>52</v>
      </c>
      <c r="H177" s="63" t="s">
        <v>79</v>
      </c>
      <c r="I177" s="64">
        <v>0.15</v>
      </c>
      <c r="J177" s="313" t="s">
        <v>7</v>
      </c>
      <c r="K177" s="314"/>
      <c r="L177" s="315"/>
      <c r="M177" s="313" t="s">
        <v>77</v>
      </c>
      <c r="N177" s="315"/>
      <c r="O177" s="313" t="s">
        <v>49</v>
      </c>
      <c r="P177" s="314"/>
      <c r="Q177" s="299">
        <f t="shared" ref="Q177:Z177" si="40">AD177</f>
        <v>0</v>
      </c>
      <c r="R177" s="299">
        <f t="shared" si="40"/>
        <v>0</v>
      </c>
      <c r="S177" s="299">
        <f t="shared" si="40"/>
        <v>0</v>
      </c>
      <c r="T177" s="299">
        <f t="shared" si="40"/>
        <v>0</v>
      </c>
      <c r="U177" s="299">
        <f t="shared" si="40"/>
        <v>0</v>
      </c>
      <c r="V177" s="299">
        <f t="shared" si="40"/>
        <v>0</v>
      </c>
      <c r="W177" s="299">
        <f t="shared" si="40"/>
        <v>0</v>
      </c>
      <c r="X177" s="299">
        <f t="shared" si="40"/>
        <v>0</v>
      </c>
      <c r="Y177" s="299">
        <f t="shared" si="40"/>
        <v>0</v>
      </c>
      <c r="Z177" s="299">
        <f t="shared" si="40"/>
        <v>0</v>
      </c>
      <c r="AA177" s="415"/>
      <c r="AB177" s="415"/>
      <c r="AC177" s="415"/>
      <c r="AD177" s="415"/>
      <c r="AE177" s="415"/>
      <c r="AF177" s="415"/>
      <c r="AG177" s="415"/>
      <c r="AH177" s="415"/>
      <c r="AI177" s="415"/>
      <c r="AJ177" s="415"/>
      <c r="AK177" s="415"/>
      <c r="AL177" s="415"/>
      <c r="AM177" s="415"/>
      <c r="AN177" s="218"/>
      <c r="AO177" s="218"/>
    </row>
    <row r="178" spans="1:41" ht="14.4" thickTop="1" thickBot="1">
      <c r="B178" s="324"/>
      <c r="C178" s="305"/>
      <c r="D178" s="306"/>
      <c r="E178" s="306"/>
      <c r="F178" s="307"/>
      <c r="G178" s="312"/>
      <c r="H178" s="65" t="s">
        <v>80</v>
      </c>
      <c r="I178" s="66">
        <v>0.15</v>
      </c>
      <c r="J178" s="316"/>
      <c r="K178" s="317"/>
      <c r="L178" s="318"/>
      <c r="M178" s="316"/>
      <c r="N178" s="318"/>
      <c r="O178" s="316"/>
      <c r="P178" s="322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  <c r="AA178" s="415"/>
      <c r="AB178" s="415"/>
      <c r="AC178" s="415"/>
      <c r="AD178" s="415"/>
      <c r="AE178" s="415"/>
      <c r="AF178" s="415"/>
      <c r="AG178" s="415"/>
      <c r="AH178" s="415"/>
      <c r="AI178" s="415"/>
      <c r="AJ178" s="415"/>
      <c r="AK178" s="415"/>
      <c r="AL178" s="415"/>
      <c r="AM178" s="415"/>
      <c r="AN178" s="218"/>
      <c r="AO178" s="218"/>
    </row>
    <row r="179" spans="1:41" ht="14.4" thickTop="1" thickBot="1">
      <c r="B179" s="325"/>
      <c r="C179" s="308"/>
      <c r="D179" s="309"/>
      <c r="E179" s="309"/>
      <c r="F179" s="310"/>
      <c r="G179" s="296" t="s">
        <v>78</v>
      </c>
      <c r="H179" s="297"/>
      <c r="I179" s="298"/>
      <c r="J179" s="319"/>
      <c r="K179" s="320"/>
      <c r="L179" s="321"/>
      <c r="M179" s="319"/>
      <c r="N179" s="321"/>
      <c r="O179" s="319"/>
      <c r="P179" s="32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415"/>
      <c r="AB179" s="415"/>
      <c r="AC179" s="415"/>
      <c r="AD179" s="415"/>
      <c r="AE179" s="415"/>
      <c r="AF179" s="415"/>
      <c r="AG179" s="415"/>
      <c r="AH179" s="415"/>
      <c r="AI179" s="415"/>
      <c r="AJ179" s="415"/>
      <c r="AK179" s="415"/>
      <c r="AL179" s="415"/>
      <c r="AM179" s="415"/>
      <c r="AN179" s="218"/>
      <c r="AO179" s="218"/>
    </row>
    <row r="180" spans="1:41" ht="15.6" thickTop="1">
      <c r="A180" s="67"/>
      <c r="B180" s="68"/>
      <c r="C180" s="69"/>
      <c r="D180" s="69"/>
      <c r="E180" s="69"/>
      <c r="F180" s="69"/>
      <c r="G180" s="70"/>
      <c r="H180" s="71"/>
      <c r="I180" s="72"/>
      <c r="J180" s="69"/>
      <c r="K180" s="69"/>
      <c r="L180" s="69"/>
      <c r="M180" s="73"/>
      <c r="N180" s="73"/>
      <c r="O180" s="74"/>
      <c r="P180" s="74"/>
      <c r="Q180" s="132"/>
      <c r="R180" s="132"/>
      <c r="S180" s="132"/>
      <c r="T180" s="132"/>
      <c r="U180" s="132"/>
      <c r="V180" s="301"/>
      <c r="W180" s="301"/>
      <c r="X180" s="301"/>
      <c r="Y180" s="301"/>
      <c r="Z180" s="52"/>
    </row>
    <row r="181" spans="1:41" ht="15">
      <c r="A181" s="67"/>
      <c r="B181" s="75"/>
      <c r="C181" s="76"/>
      <c r="D181" s="76"/>
      <c r="E181" s="76"/>
      <c r="F181" s="76"/>
      <c r="G181" s="77"/>
      <c r="H181" s="78"/>
      <c r="I181" s="79"/>
      <c r="J181" s="76"/>
      <c r="K181" s="76"/>
      <c r="L181" s="76"/>
      <c r="M181" s="80"/>
      <c r="N181" s="80"/>
      <c r="O181" s="81"/>
      <c r="P181" s="81"/>
      <c r="Q181" s="150"/>
      <c r="R181" s="150"/>
      <c r="S181" s="150"/>
      <c r="T181" s="150"/>
      <c r="U181" s="150"/>
      <c r="V181" s="150"/>
      <c r="W181" s="150"/>
      <c r="X181" s="150"/>
      <c r="Y181" s="150"/>
      <c r="Z181" s="53"/>
    </row>
    <row r="182" spans="1:41" ht="15">
      <c r="A182" s="67"/>
      <c r="B182" s="75"/>
      <c r="C182" s="76"/>
      <c r="D182" s="76"/>
      <c r="E182" s="76"/>
      <c r="F182" s="76"/>
      <c r="G182" s="82"/>
      <c r="H182" s="82"/>
      <c r="I182" s="82"/>
      <c r="J182" s="76"/>
      <c r="K182" s="76"/>
      <c r="L182" s="76"/>
      <c r="M182" s="80"/>
      <c r="N182" s="80"/>
      <c r="O182" s="81"/>
      <c r="P182" s="81"/>
      <c r="Q182" s="150"/>
      <c r="R182" s="150"/>
      <c r="S182" s="150"/>
      <c r="T182" s="150"/>
      <c r="U182" s="150"/>
      <c r="V182" s="150"/>
      <c r="W182" s="150"/>
      <c r="X182" s="150"/>
      <c r="Y182" s="150"/>
      <c r="Z182" s="53"/>
    </row>
    <row r="183" spans="1:41" ht="15">
      <c r="A183" s="67"/>
      <c r="B183" s="75"/>
      <c r="C183" s="76"/>
      <c r="D183" s="76"/>
      <c r="E183" s="76"/>
      <c r="F183" s="76"/>
      <c r="G183" s="77"/>
      <c r="H183" s="78"/>
      <c r="I183" s="83"/>
      <c r="J183" s="76"/>
      <c r="K183" s="76"/>
      <c r="L183" s="76"/>
      <c r="M183" s="80"/>
      <c r="N183" s="80"/>
      <c r="O183" s="81"/>
      <c r="P183" s="81"/>
      <c r="Q183" s="150"/>
      <c r="R183" s="150"/>
      <c r="S183" s="150"/>
      <c r="T183" s="150"/>
      <c r="U183" s="150"/>
      <c r="V183" s="150"/>
      <c r="Y183" s="179"/>
      <c r="Z183" s="53"/>
    </row>
    <row r="184" spans="1:41" ht="15">
      <c r="A184" s="67"/>
      <c r="B184" s="75"/>
      <c r="C184" s="76"/>
      <c r="D184" s="76"/>
      <c r="E184" s="76"/>
      <c r="F184" s="76"/>
      <c r="G184" s="77"/>
      <c r="H184" s="78"/>
      <c r="I184" s="79"/>
      <c r="J184" s="76"/>
      <c r="K184" s="76"/>
      <c r="L184" s="76"/>
      <c r="M184" s="80"/>
      <c r="N184" s="80"/>
      <c r="O184" s="81"/>
      <c r="P184" s="81"/>
      <c r="Q184" s="150"/>
      <c r="R184" s="150"/>
      <c r="S184" s="150"/>
      <c r="T184" s="150"/>
      <c r="U184" s="150"/>
      <c r="V184" s="150"/>
      <c r="W184" s="151"/>
      <c r="X184" s="152"/>
      <c r="Y184" s="180"/>
      <c r="Z184" s="53"/>
    </row>
    <row r="185" spans="1:41" ht="15">
      <c r="A185" s="67"/>
      <c r="B185" s="75"/>
      <c r="C185" s="76"/>
      <c r="D185" s="76"/>
      <c r="E185" s="76"/>
      <c r="F185" s="76"/>
      <c r="G185" s="82"/>
      <c r="H185" s="82"/>
      <c r="I185" s="82"/>
      <c r="J185" s="76"/>
      <c r="K185" s="76"/>
      <c r="L185" s="76"/>
      <c r="M185" s="80"/>
      <c r="N185" s="80"/>
      <c r="O185" s="81"/>
      <c r="P185" s="81"/>
      <c r="Q185" s="150"/>
      <c r="R185" s="150"/>
      <c r="S185" s="150"/>
      <c r="T185" s="150"/>
      <c r="U185" s="150"/>
      <c r="V185" s="150"/>
      <c r="W185" s="151"/>
      <c r="X185" s="152"/>
      <c r="Y185" s="181"/>
      <c r="Z185" s="53"/>
    </row>
    <row r="186" spans="1:41" ht="15">
      <c r="A186" s="67"/>
      <c r="B186" s="84"/>
      <c r="C186" s="76"/>
      <c r="D186" s="76"/>
      <c r="E186" s="76"/>
      <c r="F186" s="76"/>
      <c r="G186" s="77"/>
      <c r="H186" s="78"/>
      <c r="I186" s="83"/>
      <c r="J186" s="76"/>
      <c r="K186" s="76"/>
      <c r="L186" s="76"/>
      <c r="M186" s="80"/>
      <c r="N186" s="80"/>
      <c r="O186" s="81"/>
      <c r="P186" s="81"/>
      <c r="Q186" s="150"/>
      <c r="R186" s="150"/>
      <c r="S186" s="150"/>
      <c r="T186" s="150"/>
      <c r="U186" s="150"/>
      <c r="V186" s="150"/>
      <c r="W186" s="151"/>
      <c r="X186" s="152"/>
      <c r="Y186" s="151"/>
      <c r="Z186" s="53"/>
    </row>
    <row r="187" spans="1:41" ht="15">
      <c r="A187" s="67"/>
      <c r="B187" s="84"/>
      <c r="C187" s="76"/>
      <c r="D187" s="76"/>
      <c r="E187" s="76"/>
      <c r="F187" s="76"/>
      <c r="G187" s="77"/>
      <c r="H187" s="78"/>
      <c r="I187" s="79"/>
      <c r="J187" s="76"/>
      <c r="K187" s="76"/>
      <c r="L187" s="76"/>
      <c r="M187" s="80"/>
      <c r="N187" s="80"/>
      <c r="O187" s="81"/>
      <c r="P187" s="81"/>
      <c r="Q187" s="150"/>
      <c r="R187" s="150"/>
      <c r="S187" s="150"/>
      <c r="T187" s="150"/>
      <c r="U187" s="150"/>
      <c r="V187" s="150"/>
      <c r="W187" s="151"/>
      <c r="X187" s="151"/>
      <c r="Y187" s="179"/>
      <c r="Z187" s="53"/>
    </row>
    <row r="188" spans="1:41" ht="15.6" thickBot="1">
      <c r="A188" s="67"/>
      <c r="B188" s="85"/>
      <c r="C188" s="86"/>
      <c r="D188" s="86"/>
      <c r="E188" s="86"/>
      <c r="F188" s="86"/>
      <c r="G188" s="87"/>
      <c r="H188" s="87"/>
      <c r="I188" s="87"/>
      <c r="J188" s="86"/>
      <c r="K188" s="86"/>
      <c r="L188" s="86"/>
      <c r="M188" s="88"/>
      <c r="N188" s="88"/>
      <c r="O188" s="89"/>
      <c r="P188" s="89"/>
      <c r="Q188" s="133"/>
      <c r="R188" s="133"/>
      <c r="S188" s="133"/>
      <c r="T188" s="133"/>
      <c r="U188" s="133"/>
      <c r="V188" s="133"/>
      <c r="W188" s="134"/>
      <c r="X188" s="135"/>
      <c r="Y188" s="182"/>
      <c r="Z188" s="53"/>
    </row>
    <row r="189" spans="1:41" ht="14.4" thickTop="1">
      <c r="B189" s="277" t="s">
        <v>82</v>
      </c>
      <c r="C189" s="278"/>
      <c r="D189" s="278"/>
      <c r="E189" s="279"/>
      <c r="F189" s="286" t="s">
        <v>50</v>
      </c>
      <c r="G189" s="287" t="s">
        <v>99</v>
      </c>
      <c r="H189" s="288"/>
      <c r="I189" s="289"/>
      <c r="J189" s="90"/>
      <c r="K189" s="91"/>
      <c r="L189" s="91"/>
      <c r="M189" s="92"/>
      <c r="N189" s="92"/>
      <c r="O189" s="92"/>
      <c r="P189" s="136"/>
      <c r="Q189" s="159"/>
      <c r="R189" s="163" t="s">
        <v>84</v>
      </c>
      <c r="S189" s="156"/>
      <c r="T189" s="156"/>
      <c r="U189" s="156"/>
      <c r="V189" s="156"/>
      <c r="W189" s="52"/>
      <c r="X189" s="290" t="s">
        <v>39</v>
      </c>
      <c r="Y189" s="210" t="s">
        <v>85</v>
      </c>
      <c r="Z189" s="210" t="s">
        <v>40</v>
      </c>
    </row>
    <row r="190" spans="1:41" ht="13.8">
      <c r="B190" s="280"/>
      <c r="C190" s="281"/>
      <c r="D190" s="281"/>
      <c r="E190" s="282"/>
      <c r="F190" s="263"/>
      <c r="G190" s="267"/>
      <c r="H190" s="268"/>
      <c r="I190" s="269"/>
      <c r="J190" s="94"/>
      <c r="K190" s="95"/>
      <c r="L190" s="95"/>
      <c r="M190" s="96"/>
      <c r="N190" s="96"/>
      <c r="O190" s="96"/>
      <c r="P190" s="137"/>
      <c r="Q190" s="160"/>
      <c r="R190" s="164"/>
      <c r="S190" s="157"/>
      <c r="T190" s="157"/>
      <c r="U190" s="157"/>
      <c r="V190" s="157"/>
      <c r="W190" s="53"/>
      <c r="X190" s="291"/>
      <c r="Y190" s="211"/>
      <c r="Z190" s="211"/>
    </row>
    <row r="191" spans="1:41" ht="13.8">
      <c r="B191" s="280"/>
      <c r="C191" s="281"/>
      <c r="D191" s="281"/>
      <c r="E191" s="282"/>
      <c r="F191" s="262" t="s">
        <v>51</v>
      </c>
      <c r="G191" s="264" t="s">
        <v>99</v>
      </c>
      <c r="H191" s="265"/>
      <c r="I191" s="266"/>
      <c r="J191" s="98"/>
      <c r="K191" s="99"/>
      <c r="L191" s="99"/>
      <c r="M191" s="100"/>
      <c r="N191" s="100"/>
      <c r="O191" s="100"/>
      <c r="P191" s="138"/>
      <c r="Q191" s="161"/>
      <c r="R191" s="164"/>
      <c r="S191" s="157"/>
      <c r="T191" s="157"/>
      <c r="U191" s="157"/>
      <c r="V191" s="157"/>
      <c r="W191" s="53"/>
      <c r="X191" s="274"/>
      <c r="Y191" s="176"/>
      <c r="Z191" s="206"/>
      <c r="AA191" s="146"/>
    </row>
    <row r="192" spans="1:41" ht="13.8">
      <c r="B192" s="280"/>
      <c r="C192" s="281"/>
      <c r="D192" s="281"/>
      <c r="E192" s="282"/>
      <c r="F192" s="263"/>
      <c r="G192" s="267"/>
      <c r="H192" s="268"/>
      <c r="I192" s="269"/>
      <c r="J192" s="94"/>
      <c r="K192" s="95"/>
      <c r="L192" s="95"/>
      <c r="M192" s="96"/>
      <c r="N192" s="96"/>
      <c r="O192" s="96"/>
      <c r="P192" s="137"/>
      <c r="Q192" s="160"/>
      <c r="R192" s="164"/>
      <c r="S192" s="157"/>
      <c r="T192" s="157"/>
      <c r="U192" s="157"/>
      <c r="V192" s="157"/>
      <c r="W192" s="53"/>
      <c r="X192" s="275"/>
      <c r="Y192" s="177"/>
      <c r="Z192" s="206"/>
    </row>
    <row r="193" spans="2:26" ht="13.8">
      <c r="B193" s="280"/>
      <c r="C193" s="281"/>
      <c r="D193" s="281"/>
      <c r="E193" s="282"/>
      <c r="F193" s="262" t="s">
        <v>52</v>
      </c>
      <c r="G193" s="264" t="s">
        <v>99</v>
      </c>
      <c r="H193" s="265"/>
      <c r="I193" s="266"/>
      <c r="J193" s="102"/>
      <c r="K193" s="103"/>
      <c r="L193" s="103"/>
      <c r="M193" s="67"/>
      <c r="N193" s="67"/>
      <c r="O193" s="67"/>
      <c r="P193" s="139"/>
      <c r="Q193" s="161"/>
      <c r="R193" s="164"/>
      <c r="S193" s="157"/>
      <c r="T193" s="157"/>
      <c r="U193" s="157"/>
      <c r="V193" s="157"/>
      <c r="W193" s="53"/>
      <c r="X193" s="275"/>
      <c r="Y193" s="177"/>
      <c r="Z193" s="206"/>
    </row>
    <row r="194" spans="2:26" ht="14.4" thickBot="1">
      <c r="B194" s="283"/>
      <c r="C194" s="284"/>
      <c r="D194" s="284"/>
      <c r="E194" s="285"/>
      <c r="F194" s="270"/>
      <c r="G194" s="271"/>
      <c r="H194" s="272"/>
      <c r="I194" s="273"/>
      <c r="J194" s="105"/>
      <c r="K194" s="106"/>
      <c r="L194" s="106"/>
      <c r="M194" s="107"/>
      <c r="N194" s="107"/>
      <c r="O194" s="107"/>
      <c r="P194" s="140"/>
      <c r="Q194" s="162"/>
      <c r="R194" s="164"/>
      <c r="S194" s="157"/>
      <c r="T194" s="157"/>
      <c r="U194" s="157"/>
      <c r="V194" s="157"/>
      <c r="W194" s="53"/>
      <c r="X194" s="275"/>
      <c r="Y194" s="177"/>
      <c r="Z194" s="206"/>
    </row>
    <row r="195" spans="2:26" ht="14.4" thickTop="1" thickBot="1">
      <c r="B195" s="109"/>
      <c r="C195" s="110"/>
      <c r="D195" s="110"/>
      <c r="E195" s="110"/>
      <c r="F195" s="110"/>
      <c r="G195" s="111"/>
      <c r="H195" s="111"/>
      <c r="I195" s="111"/>
      <c r="J195" s="292" t="s">
        <v>62</v>
      </c>
      <c r="K195" s="293"/>
      <c r="L195" s="293"/>
      <c r="M195" s="293"/>
      <c r="N195" s="293"/>
      <c r="O195" s="293"/>
      <c r="P195" s="294"/>
      <c r="Q195" s="112"/>
      <c r="R195" s="165"/>
      <c r="S195" s="158"/>
      <c r="T195" s="158"/>
      <c r="U195" s="158"/>
      <c r="V195" s="158"/>
      <c r="W195" s="170"/>
      <c r="X195" s="275"/>
      <c r="Y195" s="177"/>
      <c r="Z195" s="206"/>
    </row>
    <row r="196" spans="2:26" ht="13.8" thickTop="1">
      <c r="B196" s="249" t="s">
        <v>8</v>
      </c>
      <c r="C196" s="250"/>
      <c r="D196" s="250"/>
      <c r="E196" s="250"/>
      <c r="F196" s="250"/>
      <c r="G196" s="250"/>
      <c r="H196" s="250"/>
      <c r="I196" s="250"/>
      <c r="J196" s="250"/>
      <c r="K196" s="250"/>
      <c r="L196" s="251"/>
      <c r="M196" s="113" t="s">
        <v>9</v>
      </c>
      <c r="N196" s="114"/>
      <c r="O196" s="115"/>
      <c r="P196" s="115"/>
      <c r="Q196" s="115"/>
      <c r="R196" s="183"/>
      <c r="S196" s="183"/>
      <c r="T196" s="183"/>
      <c r="U196" s="185"/>
      <c r="V196" s="184" t="s">
        <v>6</v>
      </c>
      <c r="W196" s="175" t="s">
        <v>53</v>
      </c>
      <c r="X196" s="275"/>
      <c r="Y196" s="177"/>
      <c r="Z196" s="148"/>
    </row>
    <row r="197" spans="2:26">
      <c r="B197" s="252" t="s">
        <v>10</v>
      </c>
      <c r="C197" s="253"/>
      <c r="D197" s="253"/>
      <c r="E197" s="254"/>
      <c r="F197" s="258" t="s">
        <v>86</v>
      </c>
      <c r="G197" s="253"/>
      <c r="H197" s="253"/>
      <c r="I197" s="253"/>
      <c r="J197" s="253"/>
      <c r="K197" s="253"/>
      <c r="L197" s="259"/>
      <c r="M197" s="117"/>
      <c r="N197" s="118"/>
      <c r="O197" s="119"/>
      <c r="P197" s="120"/>
      <c r="Q197" s="120"/>
      <c r="R197" s="142"/>
      <c r="S197" s="141"/>
      <c r="T197" s="141"/>
      <c r="U197" s="186"/>
      <c r="V197" s="166"/>
      <c r="W197" s="141"/>
      <c r="X197" s="276"/>
      <c r="Y197" s="178"/>
      <c r="Z197" s="207"/>
    </row>
    <row r="198" spans="2:26">
      <c r="B198" s="255"/>
      <c r="C198" s="256"/>
      <c r="D198" s="256"/>
      <c r="E198" s="257"/>
      <c r="F198" s="260"/>
      <c r="G198" s="256"/>
      <c r="H198" s="256"/>
      <c r="I198" s="256"/>
      <c r="J198" s="256"/>
      <c r="K198" s="256"/>
      <c r="L198" s="261"/>
      <c r="M198" s="121"/>
      <c r="N198" s="122"/>
      <c r="O198" s="123"/>
      <c r="P198" s="120"/>
      <c r="Q198" s="120"/>
      <c r="R198" s="142"/>
      <c r="S198" s="141"/>
      <c r="T198" s="141"/>
      <c r="U198" s="186"/>
      <c r="V198" s="167"/>
      <c r="W198" s="26"/>
      <c r="X198" s="153" t="s">
        <v>87</v>
      </c>
      <c r="Y198" s="153" t="s">
        <v>88</v>
      </c>
      <c r="Z198" s="153" t="s">
        <v>89</v>
      </c>
    </row>
    <row r="199" spans="2:26" ht="13.8" thickBot="1">
      <c r="B199" s="45" t="s">
        <v>90</v>
      </c>
      <c r="C199" s="46"/>
      <c r="D199" s="124"/>
      <c r="E199" s="125"/>
      <c r="F199" s="243">
        <v>45525</v>
      </c>
      <c r="G199" s="244"/>
      <c r="H199" s="244"/>
      <c r="I199" s="245"/>
      <c r="J199" s="126" t="s">
        <v>9</v>
      </c>
      <c r="K199" s="246" t="s">
        <v>63</v>
      </c>
      <c r="L199" s="247"/>
      <c r="M199" s="127"/>
      <c r="N199" s="128"/>
      <c r="O199" s="143" t="s">
        <v>98</v>
      </c>
      <c r="P199" s="130"/>
      <c r="Q199" s="130"/>
      <c r="R199" s="144"/>
      <c r="S199" s="145"/>
      <c r="T199" s="144"/>
      <c r="U199" s="186"/>
      <c r="V199" s="168">
        <v>45525</v>
      </c>
      <c r="W199" s="44" t="s">
        <v>100</v>
      </c>
      <c r="X199" s="154"/>
      <c r="Y199" s="155"/>
      <c r="Z199" s="208"/>
    </row>
    <row r="200" spans="2:26" ht="13.8" thickTop="1">
      <c r="B200" s="248"/>
      <c r="C200" s="248"/>
      <c r="D200" s="248"/>
      <c r="E200" s="248"/>
    </row>
  </sheetData>
  <mergeCells count="1479">
    <mergeCell ref="Z165:Z167"/>
    <mergeCell ref="Z168:Z170"/>
    <mergeCell ref="Z171:Z173"/>
    <mergeCell ref="Z174:Z176"/>
    <mergeCell ref="Z177:Z179"/>
    <mergeCell ref="Z147:Z149"/>
    <mergeCell ref="Z150:Z152"/>
    <mergeCell ref="Z153:Z155"/>
    <mergeCell ref="Z156:Z158"/>
    <mergeCell ref="Z159:Z161"/>
    <mergeCell ref="Z120:Z122"/>
    <mergeCell ref="Z123:Z125"/>
    <mergeCell ref="Z126:Z128"/>
    <mergeCell ref="Z162:Z164"/>
    <mergeCell ref="Z129:Z131"/>
    <mergeCell ref="Z132:Z134"/>
    <mergeCell ref="Z135:Z137"/>
    <mergeCell ref="Z138:Z140"/>
    <mergeCell ref="Z141:Z143"/>
    <mergeCell ref="Z144:Z146"/>
    <mergeCell ref="Z102:Z104"/>
    <mergeCell ref="Z105:Z107"/>
    <mergeCell ref="Z108:Z110"/>
    <mergeCell ref="Z111:Z113"/>
    <mergeCell ref="Z114:Z116"/>
    <mergeCell ref="Z117:Z119"/>
    <mergeCell ref="Z84:Z86"/>
    <mergeCell ref="Z87:Z89"/>
    <mergeCell ref="Z90:Z92"/>
    <mergeCell ref="Z93:Z95"/>
    <mergeCell ref="Z96:Z98"/>
    <mergeCell ref="Z99:Z101"/>
    <mergeCell ref="Z66:Z68"/>
    <mergeCell ref="Z69:Z71"/>
    <mergeCell ref="Z72:Z74"/>
    <mergeCell ref="Z75:Z77"/>
    <mergeCell ref="Z78:Z80"/>
    <mergeCell ref="Z81:Z83"/>
    <mergeCell ref="Z48:Z50"/>
    <mergeCell ref="Z51:Z53"/>
    <mergeCell ref="Z54:Z56"/>
    <mergeCell ref="Z57:Z59"/>
    <mergeCell ref="Z60:Z62"/>
    <mergeCell ref="Z63:Z65"/>
    <mergeCell ref="AJ177:AJ179"/>
    <mergeCell ref="AK177:AK179"/>
    <mergeCell ref="AL177:AL179"/>
    <mergeCell ref="AM177:AM179"/>
    <mergeCell ref="AN177:AN179"/>
    <mergeCell ref="AO177:AO179"/>
    <mergeCell ref="AO174:AO176"/>
    <mergeCell ref="AA177:AA179"/>
    <mergeCell ref="AB177:AB179"/>
    <mergeCell ref="AC177:AC179"/>
    <mergeCell ref="AD177:AD179"/>
    <mergeCell ref="AE177:AE179"/>
    <mergeCell ref="AF177:AF179"/>
    <mergeCell ref="AG177:AG179"/>
    <mergeCell ref="AH177:AH179"/>
    <mergeCell ref="AI177:AI179"/>
    <mergeCell ref="AI174:AI176"/>
    <mergeCell ref="AJ174:AJ176"/>
    <mergeCell ref="AK174:AK176"/>
    <mergeCell ref="AL174:AL176"/>
    <mergeCell ref="AM174:AM176"/>
    <mergeCell ref="AN174:AN176"/>
    <mergeCell ref="AN171:AN173"/>
    <mergeCell ref="AO171:AO173"/>
    <mergeCell ref="AA174:AA176"/>
    <mergeCell ref="AB174:AB176"/>
    <mergeCell ref="AC174:AC176"/>
    <mergeCell ref="AD174:AD176"/>
    <mergeCell ref="AE174:AE176"/>
    <mergeCell ref="AF174:AF176"/>
    <mergeCell ref="AG174:AG176"/>
    <mergeCell ref="AH174:AH176"/>
    <mergeCell ref="AH171:AH173"/>
    <mergeCell ref="AI171:AI173"/>
    <mergeCell ref="AJ171:AJ173"/>
    <mergeCell ref="AK171:AK173"/>
    <mergeCell ref="AL171:AL173"/>
    <mergeCell ref="AM171:AM173"/>
    <mergeCell ref="AM168:AM170"/>
    <mergeCell ref="AN168:AN170"/>
    <mergeCell ref="AO168:AO170"/>
    <mergeCell ref="AA171:AA173"/>
    <mergeCell ref="AB171:AB173"/>
    <mergeCell ref="AC171:AC173"/>
    <mergeCell ref="AD171:AD173"/>
    <mergeCell ref="AE171:AE173"/>
    <mergeCell ref="AF171:AF173"/>
    <mergeCell ref="AG171:AG173"/>
    <mergeCell ref="AG168:AG170"/>
    <mergeCell ref="AH168:AH170"/>
    <mergeCell ref="AI168:AI170"/>
    <mergeCell ref="AJ168:AJ170"/>
    <mergeCell ref="AK168:AK170"/>
    <mergeCell ref="AL168:AL170"/>
    <mergeCell ref="AA168:AA170"/>
    <mergeCell ref="AB168:AB170"/>
    <mergeCell ref="AC168:AC170"/>
    <mergeCell ref="AD168:AD170"/>
    <mergeCell ref="AE168:AE170"/>
    <mergeCell ref="AF168:AF170"/>
    <mergeCell ref="AJ165:AJ167"/>
    <mergeCell ref="AK165:AK167"/>
    <mergeCell ref="AL165:AL167"/>
    <mergeCell ref="AM165:AM167"/>
    <mergeCell ref="AN165:AN167"/>
    <mergeCell ref="AO165:AO167"/>
    <mergeCell ref="AO162:AO164"/>
    <mergeCell ref="AA165:AA167"/>
    <mergeCell ref="AB165:AB167"/>
    <mergeCell ref="AC165:AC167"/>
    <mergeCell ref="AD165:AD167"/>
    <mergeCell ref="AE165:AE167"/>
    <mergeCell ref="AF165:AF167"/>
    <mergeCell ref="AG165:AG167"/>
    <mergeCell ref="AH165:AH167"/>
    <mergeCell ref="AI165:AI167"/>
    <mergeCell ref="AI162:AI164"/>
    <mergeCell ref="AJ162:AJ164"/>
    <mergeCell ref="AK162:AK164"/>
    <mergeCell ref="AL162:AL164"/>
    <mergeCell ref="AM162:AM164"/>
    <mergeCell ref="AN162:AN164"/>
    <mergeCell ref="AN159:AN161"/>
    <mergeCell ref="AO159:AO161"/>
    <mergeCell ref="AA162:AA164"/>
    <mergeCell ref="AB162:AB164"/>
    <mergeCell ref="AC162:AC164"/>
    <mergeCell ref="AD162:AD164"/>
    <mergeCell ref="AE162:AE164"/>
    <mergeCell ref="AF162:AF164"/>
    <mergeCell ref="AG162:AG164"/>
    <mergeCell ref="AH162:AH164"/>
    <mergeCell ref="AH159:AH161"/>
    <mergeCell ref="AI159:AI161"/>
    <mergeCell ref="AJ159:AJ161"/>
    <mergeCell ref="AK159:AK161"/>
    <mergeCell ref="AL159:AL161"/>
    <mergeCell ref="AM159:AM161"/>
    <mergeCell ref="AM156:AM158"/>
    <mergeCell ref="AN156:AN158"/>
    <mergeCell ref="AO156:AO158"/>
    <mergeCell ref="AA159:AA161"/>
    <mergeCell ref="AB159:AB161"/>
    <mergeCell ref="AC159:AC161"/>
    <mergeCell ref="AD159:AD161"/>
    <mergeCell ref="AE159:AE161"/>
    <mergeCell ref="AF159:AF161"/>
    <mergeCell ref="AG159:AG161"/>
    <mergeCell ref="AG156:AG158"/>
    <mergeCell ref="AH156:AH158"/>
    <mergeCell ref="AI156:AI158"/>
    <mergeCell ref="AJ156:AJ158"/>
    <mergeCell ref="AK156:AK158"/>
    <mergeCell ref="AL156:AL158"/>
    <mergeCell ref="AA156:AA158"/>
    <mergeCell ref="AB156:AB158"/>
    <mergeCell ref="AC156:AC158"/>
    <mergeCell ref="AD156:AD158"/>
    <mergeCell ref="AE156:AE158"/>
    <mergeCell ref="AF156:AF158"/>
    <mergeCell ref="AJ153:AJ155"/>
    <mergeCell ref="AK153:AK155"/>
    <mergeCell ref="AL153:AL155"/>
    <mergeCell ref="AM153:AM155"/>
    <mergeCell ref="AN153:AN155"/>
    <mergeCell ref="AO153:AO155"/>
    <mergeCell ref="AO150:AO152"/>
    <mergeCell ref="AA153:AA155"/>
    <mergeCell ref="AB153:AB155"/>
    <mergeCell ref="AC153:AC155"/>
    <mergeCell ref="AD153:AD155"/>
    <mergeCell ref="AE153:AE155"/>
    <mergeCell ref="AF153:AF155"/>
    <mergeCell ref="AG153:AG155"/>
    <mergeCell ref="AH153:AH155"/>
    <mergeCell ref="AI153:AI155"/>
    <mergeCell ref="AI150:AI152"/>
    <mergeCell ref="AJ150:AJ152"/>
    <mergeCell ref="AK150:AK152"/>
    <mergeCell ref="AL150:AL152"/>
    <mergeCell ref="AM150:AM152"/>
    <mergeCell ref="AN150:AN152"/>
    <mergeCell ref="AN147:AN149"/>
    <mergeCell ref="AO147:AO149"/>
    <mergeCell ref="AA150:AA152"/>
    <mergeCell ref="AB150:AB152"/>
    <mergeCell ref="AC150:AC152"/>
    <mergeCell ref="AD150:AD152"/>
    <mergeCell ref="AE150:AE152"/>
    <mergeCell ref="AF150:AF152"/>
    <mergeCell ref="AG150:AG152"/>
    <mergeCell ref="AH150:AH152"/>
    <mergeCell ref="AH147:AH149"/>
    <mergeCell ref="AI147:AI149"/>
    <mergeCell ref="AJ147:AJ149"/>
    <mergeCell ref="AK147:AK149"/>
    <mergeCell ref="AL147:AL149"/>
    <mergeCell ref="AM147:AM149"/>
    <mergeCell ref="AM144:AM146"/>
    <mergeCell ref="AN144:AN146"/>
    <mergeCell ref="AO144:AO146"/>
    <mergeCell ref="AA147:AA149"/>
    <mergeCell ref="AB147:AB149"/>
    <mergeCell ref="AC147:AC149"/>
    <mergeCell ref="AD147:AD149"/>
    <mergeCell ref="AE147:AE149"/>
    <mergeCell ref="AF147:AF149"/>
    <mergeCell ref="AG147:AG149"/>
    <mergeCell ref="AG144:AG146"/>
    <mergeCell ref="AH144:AH146"/>
    <mergeCell ref="AI144:AI146"/>
    <mergeCell ref="AJ144:AJ146"/>
    <mergeCell ref="AK144:AK146"/>
    <mergeCell ref="AL144:AL146"/>
    <mergeCell ref="AA144:AA146"/>
    <mergeCell ref="AB144:AB146"/>
    <mergeCell ref="AC144:AC146"/>
    <mergeCell ref="AD144:AD146"/>
    <mergeCell ref="AE144:AE146"/>
    <mergeCell ref="AF144:AF146"/>
    <mergeCell ref="AJ141:AJ143"/>
    <mergeCell ref="AK141:AK143"/>
    <mergeCell ref="AL141:AL143"/>
    <mergeCell ref="AM141:AM143"/>
    <mergeCell ref="AN141:AN143"/>
    <mergeCell ref="AO141:AO143"/>
    <mergeCell ref="AO138:AO140"/>
    <mergeCell ref="AA141:AA143"/>
    <mergeCell ref="AB141:AB143"/>
    <mergeCell ref="AC141:AC143"/>
    <mergeCell ref="AD141:AD143"/>
    <mergeCell ref="AE141:AE143"/>
    <mergeCell ref="AF141:AF143"/>
    <mergeCell ref="AG141:AG143"/>
    <mergeCell ref="AH141:AH143"/>
    <mergeCell ref="AI141:AI143"/>
    <mergeCell ref="AI138:AI140"/>
    <mergeCell ref="AJ138:AJ140"/>
    <mergeCell ref="AK138:AK140"/>
    <mergeCell ref="AL138:AL140"/>
    <mergeCell ref="AM138:AM140"/>
    <mergeCell ref="AN138:AN140"/>
    <mergeCell ref="AN135:AN137"/>
    <mergeCell ref="AO135:AO137"/>
    <mergeCell ref="AA138:AA140"/>
    <mergeCell ref="AB138:AB140"/>
    <mergeCell ref="AC138:AC140"/>
    <mergeCell ref="AD138:AD140"/>
    <mergeCell ref="AE138:AE140"/>
    <mergeCell ref="AF138:AF140"/>
    <mergeCell ref="AG138:AG140"/>
    <mergeCell ref="AH138:AH140"/>
    <mergeCell ref="AH135:AH137"/>
    <mergeCell ref="AI135:AI137"/>
    <mergeCell ref="AJ135:AJ137"/>
    <mergeCell ref="AK135:AK137"/>
    <mergeCell ref="AL135:AL137"/>
    <mergeCell ref="AM135:AM137"/>
    <mergeCell ref="AM132:AM134"/>
    <mergeCell ref="AN132:AN134"/>
    <mergeCell ref="AO132:AO134"/>
    <mergeCell ref="AA135:AA137"/>
    <mergeCell ref="AB135:AB137"/>
    <mergeCell ref="AC135:AC137"/>
    <mergeCell ref="AD135:AD137"/>
    <mergeCell ref="AE135:AE137"/>
    <mergeCell ref="AF135:AF137"/>
    <mergeCell ref="AG135:AG137"/>
    <mergeCell ref="AG132:AG134"/>
    <mergeCell ref="AH132:AH134"/>
    <mergeCell ref="AI132:AI134"/>
    <mergeCell ref="AJ132:AJ134"/>
    <mergeCell ref="AK132:AK134"/>
    <mergeCell ref="AL132:AL134"/>
    <mergeCell ref="AA132:AA134"/>
    <mergeCell ref="AB132:AB134"/>
    <mergeCell ref="AC132:AC134"/>
    <mergeCell ref="AD132:AD134"/>
    <mergeCell ref="AE132:AE134"/>
    <mergeCell ref="AF132:AF134"/>
    <mergeCell ref="AJ129:AJ131"/>
    <mergeCell ref="AK129:AK131"/>
    <mergeCell ref="AL129:AL131"/>
    <mergeCell ref="AM129:AM131"/>
    <mergeCell ref="AN129:AN131"/>
    <mergeCell ref="AO129:AO131"/>
    <mergeCell ref="AO126:AO128"/>
    <mergeCell ref="AA129:AA131"/>
    <mergeCell ref="AB129:AB131"/>
    <mergeCell ref="AC129:AC131"/>
    <mergeCell ref="AD129:AD131"/>
    <mergeCell ref="AE129:AE131"/>
    <mergeCell ref="AF129:AF131"/>
    <mergeCell ref="AG129:AG131"/>
    <mergeCell ref="AH129:AH131"/>
    <mergeCell ref="AI129:AI131"/>
    <mergeCell ref="AI126:AI128"/>
    <mergeCell ref="AJ126:AJ128"/>
    <mergeCell ref="AK126:AK128"/>
    <mergeCell ref="AL126:AL128"/>
    <mergeCell ref="AM126:AM128"/>
    <mergeCell ref="AN126:AN128"/>
    <mergeCell ref="AN123:AN125"/>
    <mergeCell ref="AO123:AO125"/>
    <mergeCell ref="AA126:AA128"/>
    <mergeCell ref="AB126:AB128"/>
    <mergeCell ref="AC126:AC128"/>
    <mergeCell ref="AD126:AD128"/>
    <mergeCell ref="AE126:AE128"/>
    <mergeCell ref="AF126:AF128"/>
    <mergeCell ref="AG126:AG128"/>
    <mergeCell ref="AH126:AH128"/>
    <mergeCell ref="AH123:AH125"/>
    <mergeCell ref="AI123:AI125"/>
    <mergeCell ref="AJ123:AJ125"/>
    <mergeCell ref="AK123:AK125"/>
    <mergeCell ref="AL123:AL125"/>
    <mergeCell ref="AM123:AM125"/>
    <mergeCell ref="AM120:AM122"/>
    <mergeCell ref="AN120:AN122"/>
    <mergeCell ref="AO120:AO122"/>
    <mergeCell ref="AA123:AA125"/>
    <mergeCell ref="AB123:AB125"/>
    <mergeCell ref="AC123:AC125"/>
    <mergeCell ref="AD123:AD125"/>
    <mergeCell ref="AE123:AE125"/>
    <mergeCell ref="AF123:AF125"/>
    <mergeCell ref="AG123:AG125"/>
    <mergeCell ref="AG120:AG122"/>
    <mergeCell ref="AH120:AH122"/>
    <mergeCell ref="AI120:AI122"/>
    <mergeCell ref="AJ120:AJ122"/>
    <mergeCell ref="AK120:AK122"/>
    <mergeCell ref="AL120:AL122"/>
    <mergeCell ref="AA120:AA122"/>
    <mergeCell ref="AB120:AB122"/>
    <mergeCell ref="AC120:AC122"/>
    <mergeCell ref="AD120:AD122"/>
    <mergeCell ref="AE120:AE122"/>
    <mergeCell ref="AF120:AF122"/>
    <mergeCell ref="AJ117:AJ119"/>
    <mergeCell ref="AK117:AK119"/>
    <mergeCell ref="AL117:AL119"/>
    <mergeCell ref="AM117:AM119"/>
    <mergeCell ref="AN117:AN119"/>
    <mergeCell ref="AO117:AO119"/>
    <mergeCell ref="AO114:AO116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I114:AI116"/>
    <mergeCell ref="AJ114:AJ116"/>
    <mergeCell ref="AK114:AK116"/>
    <mergeCell ref="AL114:AL116"/>
    <mergeCell ref="AM114:AM116"/>
    <mergeCell ref="AN114:AN116"/>
    <mergeCell ref="AN111:AN113"/>
    <mergeCell ref="AO111:AO113"/>
    <mergeCell ref="AA114:AA116"/>
    <mergeCell ref="AB114:AB116"/>
    <mergeCell ref="AC114:AC116"/>
    <mergeCell ref="AD114:AD116"/>
    <mergeCell ref="AE114:AE116"/>
    <mergeCell ref="AF114:AF116"/>
    <mergeCell ref="AG114:AG116"/>
    <mergeCell ref="AH114:AH116"/>
    <mergeCell ref="AH111:AH113"/>
    <mergeCell ref="AI111:AI113"/>
    <mergeCell ref="AJ111:AJ113"/>
    <mergeCell ref="AK111:AK113"/>
    <mergeCell ref="AL111:AL113"/>
    <mergeCell ref="AM111:AM113"/>
    <mergeCell ref="AM108:AM110"/>
    <mergeCell ref="AN108:AN110"/>
    <mergeCell ref="AO108:AO110"/>
    <mergeCell ref="AA111:AA113"/>
    <mergeCell ref="AB111:AB113"/>
    <mergeCell ref="AC111:AC113"/>
    <mergeCell ref="AD111:AD113"/>
    <mergeCell ref="AE111:AE113"/>
    <mergeCell ref="AF111:AF113"/>
    <mergeCell ref="AG111:AG113"/>
    <mergeCell ref="AG108:AG110"/>
    <mergeCell ref="AH108:AH110"/>
    <mergeCell ref="AI108:AI110"/>
    <mergeCell ref="AJ108:AJ110"/>
    <mergeCell ref="AK108:AK110"/>
    <mergeCell ref="AL108:AL110"/>
    <mergeCell ref="AA108:AA110"/>
    <mergeCell ref="AB108:AB110"/>
    <mergeCell ref="AC108:AC110"/>
    <mergeCell ref="AD108:AD110"/>
    <mergeCell ref="AE108:AE110"/>
    <mergeCell ref="AF108:AF110"/>
    <mergeCell ref="AJ105:AJ107"/>
    <mergeCell ref="AK105:AK107"/>
    <mergeCell ref="AL105:AL107"/>
    <mergeCell ref="AM105:AM107"/>
    <mergeCell ref="AN105:AN107"/>
    <mergeCell ref="AO105:AO107"/>
    <mergeCell ref="AO102:AO104"/>
    <mergeCell ref="AA105:AA107"/>
    <mergeCell ref="AB105:AB107"/>
    <mergeCell ref="AC105:AC107"/>
    <mergeCell ref="AD105:AD107"/>
    <mergeCell ref="AE105:AE107"/>
    <mergeCell ref="AF105:AF107"/>
    <mergeCell ref="AG105:AG107"/>
    <mergeCell ref="AH105:AH107"/>
    <mergeCell ref="AI105:AI107"/>
    <mergeCell ref="AI102:AI104"/>
    <mergeCell ref="AJ102:AJ104"/>
    <mergeCell ref="AK102:AK104"/>
    <mergeCell ref="AL102:AL104"/>
    <mergeCell ref="AM102:AM104"/>
    <mergeCell ref="AN102:AN104"/>
    <mergeCell ref="AN99:AN101"/>
    <mergeCell ref="AO99:AO101"/>
    <mergeCell ref="AA102:AA104"/>
    <mergeCell ref="AB102:AB104"/>
    <mergeCell ref="AC102:AC104"/>
    <mergeCell ref="AD102:AD104"/>
    <mergeCell ref="AE102:AE104"/>
    <mergeCell ref="AF102:AF104"/>
    <mergeCell ref="AG102:AG104"/>
    <mergeCell ref="AH102:AH104"/>
    <mergeCell ref="AH99:AH101"/>
    <mergeCell ref="AI99:AI101"/>
    <mergeCell ref="AJ99:AJ101"/>
    <mergeCell ref="AK99:AK101"/>
    <mergeCell ref="AL99:AL101"/>
    <mergeCell ref="AM99:AM101"/>
    <mergeCell ref="AM96:AM98"/>
    <mergeCell ref="AN96:AN98"/>
    <mergeCell ref="AO96:AO98"/>
    <mergeCell ref="AA99:AA101"/>
    <mergeCell ref="AB99:AB101"/>
    <mergeCell ref="AC99:AC101"/>
    <mergeCell ref="AD99:AD101"/>
    <mergeCell ref="AE99:AE101"/>
    <mergeCell ref="AF99:AF101"/>
    <mergeCell ref="AG99:AG101"/>
    <mergeCell ref="AG96:AG98"/>
    <mergeCell ref="AH96:AH98"/>
    <mergeCell ref="AI96:AI98"/>
    <mergeCell ref="AJ96:AJ98"/>
    <mergeCell ref="AK96:AK98"/>
    <mergeCell ref="AL96:AL98"/>
    <mergeCell ref="AA96:AA98"/>
    <mergeCell ref="AB96:AB98"/>
    <mergeCell ref="AC96:AC98"/>
    <mergeCell ref="AD96:AD98"/>
    <mergeCell ref="AE96:AE98"/>
    <mergeCell ref="AF96:AF98"/>
    <mergeCell ref="AJ93:AJ95"/>
    <mergeCell ref="AK93:AK95"/>
    <mergeCell ref="AL93:AL95"/>
    <mergeCell ref="AM93:AM95"/>
    <mergeCell ref="AN93:AN95"/>
    <mergeCell ref="AO93:AO95"/>
    <mergeCell ref="AO90:AO92"/>
    <mergeCell ref="AA93:AA95"/>
    <mergeCell ref="AB93:AB95"/>
    <mergeCell ref="AC93:AC95"/>
    <mergeCell ref="AD93:AD95"/>
    <mergeCell ref="AE93:AE95"/>
    <mergeCell ref="AF93:AF95"/>
    <mergeCell ref="AG93:AG95"/>
    <mergeCell ref="AH93:AH95"/>
    <mergeCell ref="AI93:AI95"/>
    <mergeCell ref="AI90:AI92"/>
    <mergeCell ref="AJ90:AJ92"/>
    <mergeCell ref="AK90:AK92"/>
    <mergeCell ref="AL90:AL92"/>
    <mergeCell ref="AM90:AM92"/>
    <mergeCell ref="AN90:AN92"/>
    <mergeCell ref="AN87:AN89"/>
    <mergeCell ref="AO87:AO89"/>
    <mergeCell ref="AA90:AA92"/>
    <mergeCell ref="AB90:AB92"/>
    <mergeCell ref="AC90:AC92"/>
    <mergeCell ref="AD90:AD92"/>
    <mergeCell ref="AE90:AE92"/>
    <mergeCell ref="AF90:AF92"/>
    <mergeCell ref="AG90:AG92"/>
    <mergeCell ref="AH90:AH92"/>
    <mergeCell ref="AH87:AH89"/>
    <mergeCell ref="AI87:AI89"/>
    <mergeCell ref="AJ87:AJ89"/>
    <mergeCell ref="AK87:AK89"/>
    <mergeCell ref="AL87:AL89"/>
    <mergeCell ref="AM87:AM89"/>
    <mergeCell ref="AB87:AB89"/>
    <mergeCell ref="AC87:AC89"/>
    <mergeCell ref="AD87:AD89"/>
    <mergeCell ref="AE87:AE89"/>
    <mergeCell ref="AF87:AF89"/>
    <mergeCell ref="AG87:AG89"/>
    <mergeCell ref="AJ84:AJ86"/>
    <mergeCell ref="AK84:AK86"/>
    <mergeCell ref="AL84:AL86"/>
    <mergeCell ref="AM84:AM86"/>
    <mergeCell ref="AN84:AN86"/>
    <mergeCell ref="AO84:AO86"/>
    <mergeCell ref="AO81:AO83"/>
    <mergeCell ref="AA84:AA86"/>
    <mergeCell ref="AB84:AB86"/>
    <mergeCell ref="AC84:AC86"/>
    <mergeCell ref="AD84:AD86"/>
    <mergeCell ref="AE84:AE86"/>
    <mergeCell ref="AF84:AF86"/>
    <mergeCell ref="AG84:AG86"/>
    <mergeCell ref="AH84:AH86"/>
    <mergeCell ref="AI84:AI86"/>
    <mergeCell ref="AI81:AI83"/>
    <mergeCell ref="AJ81:AJ83"/>
    <mergeCell ref="AK81:AK83"/>
    <mergeCell ref="AL81:AL83"/>
    <mergeCell ref="AM81:AM83"/>
    <mergeCell ref="AN81:AN83"/>
    <mergeCell ref="AN78:AN80"/>
    <mergeCell ref="AO78:AO80"/>
    <mergeCell ref="AA81:AA83"/>
    <mergeCell ref="AB81:AB83"/>
    <mergeCell ref="AC81:AC83"/>
    <mergeCell ref="AD81:AD83"/>
    <mergeCell ref="AE81:AE83"/>
    <mergeCell ref="AF81:AF83"/>
    <mergeCell ref="AG81:AG83"/>
    <mergeCell ref="AH81:AH83"/>
    <mergeCell ref="AH78:AH80"/>
    <mergeCell ref="AI78:AI80"/>
    <mergeCell ref="AJ78:AJ80"/>
    <mergeCell ref="AK78:AK80"/>
    <mergeCell ref="AL78:AL80"/>
    <mergeCell ref="AM78:AM80"/>
    <mergeCell ref="AM75:AM77"/>
    <mergeCell ref="AN75:AN77"/>
    <mergeCell ref="AO75:AO77"/>
    <mergeCell ref="AA78:AA80"/>
    <mergeCell ref="AB78:AB80"/>
    <mergeCell ref="AC78:AC80"/>
    <mergeCell ref="AD78:AD80"/>
    <mergeCell ref="AE78:AE80"/>
    <mergeCell ref="AF78:AF80"/>
    <mergeCell ref="AG78:AG80"/>
    <mergeCell ref="AG75:AG77"/>
    <mergeCell ref="AH75:AH77"/>
    <mergeCell ref="AI75:AI77"/>
    <mergeCell ref="AJ75:AJ77"/>
    <mergeCell ref="AK75:AK77"/>
    <mergeCell ref="AL75:AL77"/>
    <mergeCell ref="AA75:AA77"/>
    <mergeCell ref="AB75:AB77"/>
    <mergeCell ref="AC75:AC77"/>
    <mergeCell ref="AD75:AD77"/>
    <mergeCell ref="AE75:AE77"/>
    <mergeCell ref="AF75:AF77"/>
    <mergeCell ref="AJ72:AJ74"/>
    <mergeCell ref="AK72:AK74"/>
    <mergeCell ref="AL72:AL74"/>
    <mergeCell ref="AM72:AM74"/>
    <mergeCell ref="AN72:AN74"/>
    <mergeCell ref="AO72:AO74"/>
    <mergeCell ref="AO69:AO71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I69:AI71"/>
    <mergeCell ref="AJ69:AJ71"/>
    <mergeCell ref="AK69:AK71"/>
    <mergeCell ref="AL69:AL71"/>
    <mergeCell ref="AM69:AM71"/>
    <mergeCell ref="AN69:AN71"/>
    <mergeCell ref="AN66:AN68"/>
    <mergeCell ref="AO66:AO68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H66:AH68"/>
    <mergeCell ref="AI66:AI68"/>
    <mergeCell ref="AJ66:AJ68"/>
    <mergeCell ref="AK66:AK68"/>
    <mergeCell ref="AL66:AL68"/>
    <mergeCell ref="AM66:AM68"/>
    <mergeCell ref="AM63:AM65"/>
    <mergeCell ref="AN63:AN65"/>
    <mergeCell ref="AO63:AO65"/>
    <mergeCell ref="AA66:AA68"/>
    <mergeCell ref="AB66:AB68"/>
    <mergeCell ref="AC66:AC68"/>
    <mergeCell ref="AD66:AD68"/>
    <mergeCell ref="AE66:AE68"/>
    <mergeCell ref="AF66:AF68"/>
    <mergeCell ref="AG66:AG68"/>
    <mergeCell ref="AG63:AG65"/>
    <mergeCell ref="AH63:AH65"/>
    <mergeCell ref="AI63:AI65"/>
    <mergeCell ref="AJ63:AJ65"/>
    <mergeCell ref="AK63:AK65"/>
    <mergeCell ref="AL63:AL65"/>
    <mergeCell ref="AL60:AL62"/>
    <mergeCell ref="AM60:AM62"/>
    <mergeCell ref="AN60:AN62"/>
    <mergeCell ref="AO60:AO62"/>
    <mergeCell ref="AA63:AA65"/>
    <mergeCell ref="AB63:AB65"/>
    <mergeCell ref="AC63:AC65"/>
    <mergeCell ref="AD63:AD65"/>
    <mergeCell ref="AE63:AE65"/>
    <mergeCell ref="AF63:AF65"/>
    <mergeCell ref="AF60:AF62"/>
    <mergeCell ref="AG60:AG62"/>
    <mergeCell ref="AH60:AH62"/>
    <mergeCell ref="AI60:AI62"/>
    <mergeCell ref="AJ60:AJ62"/>
    <mergeCell ref="AK60:AK62"/>
    <mergeCell ref="AK57:AK59"/>
    <mergeCell ref="AL57:AL59"/>
    <mergeCell ref="AM57:AM59"/>
    <mergeCell ref="AN57:AN59"/>
    <mergeCell ref="AO57:AO59"/>
    <mergeCell ref="AA60:AA62"/>
    <mergeCell ref="AB60:AB62"/>
    <mergeCell ref="AC60:AC62"/>
    <mergeCell ref="AD60:AD62"/>
    <mergeCell ref="AE60:AE62"/>
    <mergeCell ref="AL54:AL56"/>
    <mergeCell ref="AM54:AM56"/>
    <mergeCell ref="AN54:AN56"/>
    <mergeCell ref="AO54:AO56"/>
    <mergeCell ref="AE57:AE59"/>
    <mergeCell ref="AF57:AF59"/>
    <mergeCell ref="AG57:AG59"/>
    <mergeCell ref="AH57:AH59"/>
    <mergeCell ref="AI57:AI59"/>
    <mergeCell ref="AJ57:AJ59"/>
    <mergeCell ref="AF54:AF56"/>
    <mergeCell ref="AG54:AG56"/>
    <mergeCell ref="AH54:AH56"/>
    <mergeCell ref="AI54:AI56"/>
    <mergeCell ref="AJ54:AJ56"/>
    <mergeCell ref="AK54:AK56"/>
    <mergeCell ref="AK51:AK53"/>
    <mergeCell ref="AL51:AL53"/>
    <mergeCell ref="AM51:AM53"/>
    <mergeCell ref="AN51:AN53"/>
    <mergeCell ref="AO51:AO53"/>
    <mergeCell ref="AA54:AA56"/>
    <mergeCell ref="AB54:AB56"/>
    <mergeCell ref="AC54:AC56"/>
    <mergeCell ref="AD54:AD56"/>
    <mergeCell ref="AE54:AE56"/>
    <mergeCell ref="AE51:AE53"/>
    <mergeCell ref="AF51:AF53"/>
    <mergeCell ref="AG51:AG53"/>
    <mergeCell ref="AH51:AH53"/>
    <mergeCell ref="AI51:AI53"/>
    <mergeCell ref="AJ51:AJ53"/>
    <mergeCell ref="AJ48:AJ50"/>
    <mergeCell ref="AK48:AK50"/>
    <mergeCell ref="AL48:AL50"/>
    <mergeCell ref="AM48:AM50"/>
    <mergeCell ref="AN48:AN50"/>
    <mergeCell ref="AO48:AO50"/>
    <mergeCell ref="AO45:AO47"/>
    <mergeCell ref="AA48:AA50"/>
    <mergeCell ref="AB48:AB50"/>
    <mergeCell ref="AC48:AC50"/>
    <mergeCell ref="AD48:AD50"/>
    <mergeCell ref="AE48:AE50"/>
    <mergeCell ref="AF48:AF50"/>
    <mergeCell ref="AG48:AG50"/>
    <mergeCell ref="AH48:AH50"/>
    <mergeCell ref="AI48:AI50"/>
    <mergeCell ref="AI45:AI47"/>
    <mergeCell ref="AJ45:AJ47"/>
    <mergeCell ref="AK45:AK47"/>
    <mergeCell ref="AL45:AL47"/>
    <mergeCell ref="AM45:AM47"/>
    <mergeCell ref="AN45:AN47"/>
    <mergeCell ref="AM42:AM44"/>
    <mergeCell ref="AN42:AN44"/>
    <mergeCell ref="AO42:AO44"/>
    <mergeCell ref="AB45:AB47"/>
    <mergeCell ref="AC45:AC47"/>
    <mergeCell ref="AD45:AD47"/>
    <mergeCell ref="AE45:AE47"/>
    <mergeCell ref="AF45:AF47"/>
    <mergeCell ref="AG45:AG47"/>
    <mergeCell ref="AH45:AH47"/>
    <mergeCell ref="AO39:AO41"/>
    <mergeCell ref="AB42:AB44"/>
    <mergeCell ref="AC42:AC44"/>
    <mergeCell ref="AD42:AD44"/>
    <mergeCell ref="AE42:AE44"/>
    <mergeCell ref="AF42:AF44"/>
    <mergeCell ref="AG42:AG44"/>
    <mergeCell ref="AH42:AH44"/>
    <mergeCell ref="AI42:AI44"/>
    <mergeCell ref="AL42:AL44"/>
    <mergeCell ref="AO36:AO38"/>
    <mergeCell ref="AP36:AP38"/>
    <mergeCell ref="AA39:AA41"/>
    <mergeCell ref="AB39:AB41"/>
    <mergeCell ref="AC39:AC41"/>
    <mergeCell ref="AD39:AD41"/>
    <mergeCell ref="AE39:AE41"/>
    <mergeCell ref="AF39:AF41"/>
    <mergeCell ref="AG39:AG41"/>
    <mergeCell ref="AH39:AH41"/>
    <mergeCell ref="AA57:AA59"/>
    <mergeCell ref="AB57:AB59"/>
    <mergeCell ref="AC57:AC59"/>
    <mergeCell ref="AD57:AD59"/>
    <mergeCell ref="Z39:Z41"/>
    <mergeCell ref="AA51:AA53"/>
    <mergeCell ref="AB51:AB53"/>
    <mergeCell ref="AC51:AC53"/>
    <mergeCell ref="AD51:AD53"/>
    <mergeCell ref="AA42:AA44"/>
    <mergeCell ref="B4:G4"/>
    <mergeCell ref="AE36:AE38"/>
    <mergeCell ref="AF36:AF38"/>
    <mergeCell ref="AG36:AG38"/>
    <mergeCell ref="O11:Q11"/>
    <mergeCell ref="I31:J32"/>
    <mergeCell ref="Z36:Z38"/>
    <mergeCell ref="AA36:AA38"/>
    <mergeCell ref="AB36:AB38"/>
    <mergeCell ref="AC36:AC38"/>
    <mergeCell ref="AH36:AH38"/>
    <mergeCell ref="AI36:AI38"/>
    <mergeCell ref="AJ36:AJ38"/>
    <mergeCell ref="B29:F30"/>
    <mergeCell ref="G29:G30"/>
    <mergeCell ref="I29:J30"/>
    <mergeCell ref="K29:P30"/>
    <mergeCell ref="Q29:Q30"/>
    <mergeCell ref="B31:F32"/>
    <mergeCell ref="G31:G32"/>
    <mergeCell ref="K31:P32"/>
    <mergeCell ref="Q31:Q32"/>
    <mergeCell ref="C33:F35"/>
    <mergeCell ref="G33:I35"/>
    <mergeCell ref="J33:L35"/>
    <mergeCell ref="M33:N35"/>
    <mergeCell ref="O33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B36:B38"/>
    <mergeCell ref="C36:F38"/>
    <mergeCell ref="G36:I37"/>
    <mergeCell ref="J36:L38"/>
    <mergeCell ref="M36:N38"/>
    <mergeCell ref="O36:P38"/>
    <mergeCell ref="Q36:Q38"/>
    <mergeCell ref="R36:R38"/>
    <mergeCell ref="S36:S38"/>
    <mergeCell ref="T36:T38"/>
    <mergeCell ref="U36:U38"/>
    <mergeCell ref="V36:V38"/>
    <mergeCell ref="W36:W38"/>
    <mergeCell ref="X36:X38"/>
    <mergeCell ref="V39:V41"/>
    <mergeCell ref="W39:W41"/>
    <mergeCell ref="X39:X41"/>
    <mergeCell ref="Y36:Y38"/>
    <mergeCell ref="G38:I38"/>
    <mergeCell ref="B39:B41"/>
    <mergeCell ref="C39:F41"/>
    <mergeCell ref="G39:I40"/>
    <mergeCell ref="J39:L41"/>
    <mergeCell ref="M39:N41"/>
    <mergeCell ref="O42:P44"/>
    <mergeCell ref="Q42:Q44"/>
    <mergeCell ref="R42:R44"/>
    <mergeCell ref="S39:S41"/>
    <mergeCell ref="T39:T41"/>
    <mergeCell ref="U39:U41"/>
    <mergeCell ref="O39:P41"/>
    <mergeCell ref="Q39:Q41"/>
    <mergeCell ref="R39:R41"/>
    <mergeCell ref="V42:V44"/>
    <mergeCell ref="W42:W44"/>
    <mergeCell ref="X42:X44"/>
    <mergeCell ref="Y39:Y41"/>
    <mergeCell ref="G41:I41"/>
    <mergeCell ref="B42:B47"/>
    <mergeCell ref="C42:F44"/>
    <mergeCell ref="G42:G43"/>
    <mergeCell ref="J42:L44"/>
    <mergeCell ref="M42:N44"/>
    <mergeCell ref="X45:X47"/>
    <mergeCell ref="Y45:Y47"/>
    <mergeCell ref="Y42:Y44"/>
    <mergeCell ref="G44:I44"/>
    <mergeCell ref="G45:G46"/>
    <mergeCell ref="J45:L47"/>
    <mergeCell ref="M45:N47"/>
    <mergeCell ref="O45:P47"/>
    <mergeCell ref="S42:S44"/>
    <mergeCell ref="T42:T44"/>
    <mergeCell ref="B48:B53"/>
    <mergeCell ref="C48:F50"/>
    <mergeCell ref="G48:G49"/>
    <mergeCell ref="J48:L50"/>
    <mergeCell ref="M48:N50"/>
    <mergeCell ref="T45:T47"/>
    <mergeCell ref="C45:F47"/>
    <mergeCell ref="Q45:Q47"/>
    <mergeCell ref="R45:R47"/>
    <mergeCell ref="S45:S47"/>
    <mergeCell ref="O48:P50"/>
    <mergeCell ref="Q48:Q50"/>
    <mergeCell ref="R48:R50"/>
    <mergeCell ref="S48:S50"/>
    <mergeCell ref="T48:T50"/>
    <mergeCell ref="U48:U50"/>
    <mergeCell ref="V48:V50"/>
    <mergeCell ref="W48:W50"/>
    <mergeCell ref="X48:X50"/>
    <mergeCell ref="Y48:Y50"/>
    <mergeCell ref="G50:I50"/>
    <mergeCell ref="C51:F53"/>
    <mergeCell ref="G51:G52"/>
    <mergeCell ref="J51:L53"/>
    <mergeCell ref="M51:N53"/>
    <mergeCell ref="O51:P53"/>
    <mergeCell ref="Q51:Q53"/>
    <mergeCell ref="R51:R53"/>
    <mergeCell ref="S51:S53"/>
    <mergeCell ref="T51:T53"/>
    <mergeCell ref="U51:U53"/>
    <mergeCell ref="V51:V53"/>
    <mergeCell ref="W51:W53"/>
    <mergeCell ref="X51:X53"/>
    <mergeCell ref="Y51:Y53"/>
    <mergeCell ref="G53:I53"/>
    <mergeCell ref="B54:B59"/>
    <mergeCell ref="C54:F56"/>
    <mergeCell ref="G54:G55"/>
    <mergeCell ref="J54:L56"/>
    <mergeCell ref="M54:N56"/>
    <mergeCell ref="O54:P56"/>
    <mergeCell ref="Q54:Q56"/>
    <mergeCell ref="R54:R56"/>
    <mergeCell ref="S54:S56"/>
    <mergeCell ref="T54:T56"/>
    <mergeCell ref="U54:U56"/>
    <mergeCell ref="U57:U59"/>
    <mergeCell ref="W54:W56"/>
    <mergeCell ref="X54:X56"/>
    <mergeCell ref="Y54:Y56"/>
    <mergeCell ref="V54:V56"/>
    <mergeCell ref="G56:I56"/>
    <mergeCell ref="C57:F59"/>
    <mergeCell ref="G57:G58"/>
    <mergeCell ref="J57:L59"/>
    <mergeCell ref="M57:N59"/>
    <mergeCell ref="O57:P59"/>
    <mergeCell ref="B60:B65"/>
    <mergeCell ref="C60:F62"/>
    <mergeCell ref="G60:G61"/>
    <mergeCell ref="J60:L62"/>
    <mergeCell ref="M60:N62"/>
    <mergeCell ref="O60:P62"/>
    <mergeCell ref="C63:F65"/>
    <mergeCell ref="G63:G64"/>
    <mergeCell ref="J63:L65"/>
    <mergeCell ref="M63:N65"/>
    <mergeCell ref="X57:X59"/>
    <mergeCell ref="Y57:Y59"/>
    <mergeCell ref="G59:I59"/>
    <mergeCell ref="Q60:Q62"/>
    <mergeCell ref="R57:R59"/>
    <mergeCell ref="S57:S59"/>
    <mergeCell ref="T57:T59"/>
    <mergeCell ref="V57:V59"/>
    <mergeCell ref="W57:W59"/>
    <mergeCell ref="Q57:Q59"/>
    <mergeCell ref="Q63:Q65"/>
    <mergeCell ref="V63:V65"/>
    <mergeCell ref="W63:W65"/>
    <mergeCell ref="X63:X65"/>
    <mergeCell ref="X60:X62"/>
    <mergeCell ref="U60:U62"/>
    <mergeCell ref="V60:V62"/>
    <mergeCell ref="W60:W62"/>
    <mergeCell ref="S63:S65"/>
    <mergeCell ref="T63:T65"/>
    <mergeCell ref="U63:U65"/>
    <mergeCell ref="Y60:Y62"/>
    <mergeCell ref="G62:I62"/>
    <mergeCell ref="R63:R65"/>
    <mergeCell ref="R60:R62"/>
    <mergeCell ref="S60:S62"/>
    <mergeCell ref="T60:T62"/>
    <mergeCell ref="O63:P65"/>
    <mergeCell ref="Y63:Y65"/>
    <mergeCell ref="G65:I65"/>
    <mergeCell ref="B66:B71"/>
    <mergeCell ref="C66:F68"/>
    <mergeCell ref="G66:G67"/>
    <mergeCell ref="J66:L68"/>
    <mergeCell ref="M66:N68"/>
    <mergeCell ref="O66:P68"/>
    <mergeCell ref="G71:I71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G68:I68"/>
    <mergeCell ref="C69:F71"/>
    <mergeCell ref="G69:G70"/>
    <mergeCell ref="J69:L71"/>
    <mergeCell ref="M69:N71"/>
    <mergeCell ref="O69:P71"/>
    <mergeCell ref="Q69:Q71"/>
    <mergeCell ref="V72:W72"/>
    <mergeCell ref="X72:Y72"/>
    <mergeCell ref="T69:T71"/>
    <mergeCell ref="U69:U71"/>
    <mergeCell ref="V69:V71"/>
    <mergeCell ref="W69:W71"/>
    <mergeCell ref="X69:X71"/>
    <mergeCell ref="Y69:Y71"/>
    <mergeCell ref="G81:I82"/>
    <mergeCell ref="R81:V87"/>
    <mergeCell ref="W81:W82"/>
    <mergeCell ref="J87:P87"/>
    <mergeCell ref="F83:F84"/>
    <mergeCell ref="F85:F86"/>
    <mergeCell ref="AA87:AA89"/>
    <mergeCell ref="X81:X82"/>
    <mergeCell ref="Y81:Y82"/>
    <mergeCell ref="G83:I84"/>
    <mergeCell ref="G85:I86"/>
    <mergeCell ref="B88:L88"/>
    <mergeCell ref="B89:E90"/>
    <mergeCell ref="B81:E86"/>
    <mergeCell ref="F81:F82"/>
    <mergeCell ref="F89:L90"/>
    <mergeCell ref="AK36:AK38"/>
    <mergeCell ref="AL36:AL38"/>
    <mergeCell ref="AM36:AM38"/>
    <mergeCell ref="AI39:AI41"/>
    <mergeCell ref="AJ39:AJ41"/>
    <mergeCell ref="AK39:AK41"/>
    <mergeCell ref="AL39:AL41"/>
    <mergeCell ref="R69:R71"/>
    <mergeCell ref="S69:S71"/>
    <mergeCell ref="F91:I91"/>
    <mergeCell ref="K91:L91"/>
    <mergeCell ref="B93:B98"/>
    <mergeCell ref="C93:F95"/>
    <mergeCell ref="G93:G94"/>
    <mergeCell ref="J93:L95"/>
    <mergeCell ref="C96:F98"/>
    <mergeCell ref="G96:G97"/>
    <mergeCell ref="Y93:Y95"/>
    <mergeCell ref="G95:I95"/>
    <mergeCell ref="M93:N95"/>
    <mergeCell ref="O93:P95"/>
    <mergeCell ref="Q93:Q95"/>
    <mergeCell ref="R93:R95"/>
    <mergeCell ref="S93:S95"/>
    <mergeCell ref="T93:T95"/>
    <mergeCell ref="U93:U95"/>
    <mergeCell ref="V93:V95"/>
    <mergeCell ref="W93:W95"/>
    <mergeCell ref="X93:X95"/>
    <mergeCell ref="U96:U98"/>
    <mergeCell ref="V96:V98"/>
    <mergeCell ref="W96:W98"/>
    <mergeCell ref="X96:X98"/>
    <mergeCell ref="Y96:Y98"/>
    <mergeCell ref="G98:I98"/>
    <mergeCell ref="M96:N98"/>
    <mergeCell ref="O96:P98"/>
    <mergeCell ref="Q96:Q98"/>
    <mergeCell ref="R96:R98"/>
    <mergeCell ref="S96:S98"/>
    <mergeCell ref="T96:T98"/>
    <mergeCell ref="J96:L98"/>
    <mergeCell ref="B99:B104"/>
    <mergeCell ref="C99:F101"/>
    <mergeCell ref="G99:G100"/>
    <mergeCell ref="J99:L101"/>
    <mergeCell ref="M99:N101"/>
    <mergeCell ref="O99:P101"/>
    <mergeCell ref="Q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G101:I101"/>
    <mergeCell ref="C102:F104"/>
    <mergeCell ref="G102:G103"/>
    <mergeCell ref="J102:L104"/>
    <mergeCell ref="M102:N104"/>
    <mergeCell ref="O102:P104"/>
    <mergeCell ref="Q102:Q104"/>
    <mergeCell ref="R102:R104"/>
    <mergeCell ref="S102:S104"/>
    <mergeCell ref="T102:T104"/>
    <mergeCell ref="U102:U104"/>
    <mergeCell ref="V102:V104"/>
    <mergeCell ref="W102:W104"/>
    <mergeCell ref="X102:X104"/>
    <mergeCell ref="Y102:Y104"/>
    <mergeCell ref="G104:I104"/>
    <mergeCell ref="B105:B110"/>
    <mergeCell ref="C105:F107"/>
    <mergeCell ref="G105:G106"/>
    <mergeCell ref="J105:L107"/>
    <mergeCell ref="M105:N107"/>
    <mergeCell ref="O105:P107"/>
    <mergeCell ref="Q105:Q107"/>
    <mergeCell ref="R105:R107"/>
    <mergeCell ref="S105:S107"/>
    <mergeCell ref="T105:T107"/>
    <mergeCell ref="U105:U107"/>
    <mergeCell ref="V105:V107"/>
    <mergeCell ref="W105:W107"/>
    <mergeCell ref="X105:X107"/>
    <mergeCell ref="Y105:Y107"/>
    <mergeCell ref="G107:I107"/>
    <mergeCell ref="C108:F110"/>
    <mergeCell ref="G108:G109"/>
    <mergeCell ref="J108:L110"/>
    <mergeCell ref="M108:N110"/>
    <mergeCell ref="O108:P110"/>
    <mergeCell ref="Q108:Q110"/>
    <mergeCell ref="R108:R110"/>
    <mergeCell ref="S108:S110"/>
    <mergeCell ref="T108:T110"/>
    <mergeCell ref="U108:U110"/>
    <mergeCell ref="V108:V110"/>
    <mergeCell ref="W108:W110"/>
    <mergeCell ref="X108:X110"/>
    <mergeCell ref="Y108:Y110"/>
    <mergeCell ref="G110:I110"/>
    <mergeCell ref="B111:B116"/>
    <mergeCell ref="C111:F113"/>
    <mergeCell ref="G111:G112"/>
    <mergeCell ref="J111:L113"/>
    <mergeCell ref="M111:N113"/>
    <mergeCell ref="O111:P113"/>
    <mergeCell ref="Q111:Q113"/>
    <mergeCell ref="R111:R113"/>
    <mergeCell ref="S111:S113"/>
    <mergeCell ref="T111:T113"/>
    <mergeCell ref="U111:U113"/>
    <mergeCell ref="V111:V113"/>
    <mergeCell ref="W111:W113"/>
    <mergeCell ref="X111:X113"/>
    <mergeCell ref="Y111:Y113"/>
    <mergeCell ref="G113:I113"/>
    <mergeCell ref="C114:F116"/>
    <mergeCell ref="G114:G115"/>
    <mergeCell ref="J114:L116"/>
    <mergeCell ref="M114:N116"/>
    <mergeCell ref="O114:P116"/>
    <mergeCell ref="Q114:Q116"/>
    <mergeCell ref="R114:R116"/>
    <mergeCell ref="S114:S116"/>
    <mergeCell ref="T114:T116"/>
    <mergeCell ref="U114:U116"/>
    <mergeCell ref="V114:V116"/>
    <mergeCell ref="W114:W116"/>
    <mergeCell ref="X114:X116"/>
    <mergeCell ref="Y114:Y116"/>
    <mergeCell ref="G116:I116"/>
    <mergeCell ref="B117:B122"/>
    <mergeCell ref="C117:F119"/>
    <mergeCell ref="G117:G118"/>
    <mergeCell ref="J117:L119"/>
    <mergeCell ref="M117:N119"/>
    <mergeCell ref="O117:P119"/>
    <mergeCell ref="Q117:Q119"/>
    <mergeCell ref="R117:R119"/>
    <mergeCell ref="S117:S119"/>
    <mergeCell ref="T117:T119"/>
    <mergeCell ref="U117:U119"/>
    <mergeCell ref="V117:V119"/>
    <mergeCell ref="W117:W119"/>
    <mergeCell ref="X117:X119"/>
    <mergeCell ref="Y117:Y119"/>
    <mergeCell ref="G119:I119"/>
    <mergeCell ref="C120:F122"/>
    <mergeCell ref="G120:G121"/>
    <mergeCell ref="J120:L122"/>
    <mergeCell ref="M120:N122"/>
    <mergeCell ref="O120:P122"/>
    <mergeCell ref="Q120:Q122"/>
    <mergeCell ref="R120:R122"/>
    <mergeCell ref="S120:S122"/>
    <mergeCell ref="T120:T122"/>
    <mergeCell ref="U120:U122"/>
    <mergeCell ref="V120:V122"/>
    <mergeCell ref="W120:W122"/>
    <mergeCell ref="X120:X122"/>
    <mergeCell ref="Y120:Y122"/>
    <mergeCell ref="G122:I122"/>
    <mergeCell ref="B123:B128"/>
    <mergeCell ref="C123:F125"/>
    <mergeCell ref="G123:G124"/>
    <mergeCell ref="J123:L125"/>
    <mergeCell ref="M123:N125"/>
    <mergeCell ref="O123:P125"/>
    <mergeCell ref="Q123:Q125"/>
    <mergeCell ref="R123:R125"/>
    <mergeCell ref="S123:S125"/>
    <mergeCell ref="T123:T125"/>
    <mergeCell ref="U123:U125"/>
    <mergeCell ref="V123:V125"/>
    <mergeCell ref="W123:W125"/>
    <mergeCell ref="X123:X125"/>
    <mergeCell ref="Y123:Y125"/>
    <mergeCell ref="G125:I125"/>
    <mergeCell ref="C126:F128"/>
    <mergeCell ref="G126:G127"/>
    <mergeCell ref="J126:L128"/>
    <mergeCell ref="M126:N128"/>
    <mergeCell ref="O126:P128"/>
    <mergeCell ref="Q126:Q128"/>
    <mergeCell ref="R126:R128"/>
    <mergeCell ref="S126:S128"/>
    <mergeCell ref="T126:T128"/>
    <mergeCell ref="U126:U128"/>
    <mergeCell ref="V126:V128"/>
    <mergeCell ref="W126:W128"/>
    <mergeCell ref="X126:X128"/>
    <mergeCell ref="Y126:Y128"/>
    <mergeCell ref="G128:I128"/>
    <mergeCell ref="B129:B134"/>
    <mergeCell ref="C129:F131"/>
    <mergeCell ref="G129:G130"/>
    <mergeCell ref="J129:L131"/>
    <mergeCell ref="M129:N131"/>
    <mergeCell ref="O129:P131"/>
    <mergeCell ref="Q129:Q131"/>
    <mergeCell ref="R129:R131"/>
    <mergeCell ref="S129:S131"/>
    <mergeCell ref="T129:T131"/>
    <mergeCell ref="U129:U131"/>
    <mergeCell ref="V129:V131"/>
    <mergeCell ref="W129:W131"/>
    <mergeCell ref="X129:X131"/>
    <mergeCell ref="Y129:Y131"/>
    <mergeCell ref="G131:I131"/>
    <mergeCell ref="C132:F134"/>
    <mergeCell ref="G132:G133"/>
    <mergeCell ref="J132:L134"/>
    <mergeCell ref="M132:N134"/>
    <mergeCell ref="O132:P134"/>
    <mergeCell ref="Q132:Q134"/>
    <mergeCell ref="R132:R134"/>
    <mergeCell ref="S132:S134"/>
    <mergeCell ref="T132:T134"/>
    <mergeCell ref="U132:U134"/>
    <mergeCell ref="V132:V134"/>
    <mergeCell ref="W132:W134"/>
    <mergeCell ref="X132:X134"/>
    <mergeCell ref="Y132:Y134"/>
    <mergeCell ref="G134:I134"/>
    <mergeCell ref="B135:B140"/>
    <mergeCell ref="C135:F137"/>
    <mergeCell ref="G135:G136"/>
    <mergeCell ref="J135:L137"/>
    <mergeCell ref="M135:N137"/>
    <mergeCell ref="O135:P137"/>
    <mergeCell ref="Q135:Q137"/>
    <mergeCell ref="R135:R137"/>
    <mergeCell ref="S135:S137"/>
    <mergeCell ref="T135:T137"/>
    <mergeCell ref="U135:U137"/>
    <mergeCell ref="V135:V137"/>
    <mergeCell ref="W135:W137"/>
    <mergeCell ref="X135:X137"/>
    <mergeCell ref="Y135:Y137"/>
    <mergeCell ref="G137:I137"/>
    <mergeCell ref="C138:F140"/>
    <mergeCell ref="G138:G139"/>
    <mergeCell ref="J138:L140"/>
    <mergeCell ref="M138:N140"/>
    <mergeCell ref="O138:P140"/>
    <mergeCell ref="Q138:Q140"/>
    <mergeCell ref="R138:R140"/>
    <mergeCell ref="S138:S140"/>
    <mergeCell ref="T138:T140"/>
    <mergeCell ref="U138:U140"/>
    <mergeCell ref="V138:V140"/>
    <mergeCell ref="W138:W140"/>
    <mergeCell ref="X138:X140"/>
    <mergeCell ref="Y138:Y140"/>
    <mergeCell ref="G140:I140"/>
    <mergeCell ref="B141:B146"/>
    <mergeCell ref="C141:F143"/>
    <mergeCell ref="G141:G142"/>
    <mergeCell ref="J141:L143"/>
    <mergeCell ref="M141:N143"/>
    <mergeCell ref="O141:P143"/>
    <mergeCell ref="Q141:Q143"/>
    <mergeCell ref="R141:R143"/>
    <mergeCell ref="S141:S143"/>
    <mergeCell ref="T141:T143"/>
    <mergeCell ref="U141:U143"/>
    <mergeCell ref="V141:V143"/>
    <mergeCell ref="W141:W143"/>
    <mergeCell ref="X141:X143"/>
    <mergeCell ref="Y141:Y143"/>
    <mergeCell ref="G143:I143"/>
    <mergeCell ref="C144:F146"/>
    <mergeCell ref="G144:G145"/>
    <mergeCell ref="J144:L146"/>
    <mergeCell ref="M144:N146"/>
    <mergeCell ref="O144:P146"/>
    <mergeCell ref="Q144:Q146"/>
    <mergeCell ref="R144:R146"/>
    <mergeCell ref="S144:S146"/>
    <mergeCell ref="T144:T146"/>
    <mergeCell ref="U144:U146"/>
    <mergeCell ref="V144:V146"/>
    <mergeCell ref="W144:W146"/>
    <mergeCell ref="X144:X146"/>
    <mergeCell ref="Y144:Y146"/>
    <mergeCell ref="G146:I146"/>
    <mergeCell ref="B147:B158"/>
    <mergeCell ref="C147:F149"/>
    <mergeCell ref="G147:G148"/>
    <mergeCell ref="J147:L149"/>
    <mergeCell ref="M147:N149"/>
    <mergeCell ref="O147:P149"/>
    <mergeCell ref="Q150:Q152"/>
    <mergeCell ref="Q147:Q149"/>
    <mergeCell ref="R147:R149"/>
    <mergeCell ref="S147:S149"/>
    <mergeCell ref="T147:T149"/>
    <mergeCell ref="U147:U149"/>
    <mergeCell ref="U150:U152"/>
    <mergeCell ref="G149:I149"/>
    <mergeCell ref="C150:F152"/>
    <mergeCell ref="G150:G151"/>
    <mergeCell ref="J150:L152"/>
    <mergeCell ref="M150:N152"/>
    <mergeCell ref="O150:P152"/>
    <mergeCell ref="V150:V152"/>
    <mergeCell ref="W150:W152"/>
    <mergeCell ref="W147:W149"/>
    <mergeCell ref="X147:X149"/>
    <mergeCell ref="Y147:Y149"/>
    <mergeCell ref="V147:V149"/>
    <mergeCell ref="C153:F155"/>
    <mergeCell ref="G153:G154"/>
    <mergeCell ref="J153:L155"/>
    <mergeCell ref="M153:N155"/>
    <mergeCell ref="O153:P155"/>
    <mergeCell ref="Q153:Q155"/>
    <mergeCell ref="V153:V155"/>
    <mergeCell ref="W153:W155"/>
    <mergeCell ref="X153:X155"/>
    <mergeCell ref="X150:X152"/>
    <mergeCell ref="Y150:Y152"/>
    <mergeCell ref="G152:I152"/>
    <mergeCell ref="R153:R155"/>
    <mergeCell ref="R150:R152"/>
    <mergeCell ref="S150:S152"/>
    <mergeCell ref="T150:T152"/>
    <mergeCell ref="Q156:Q158"/>
    <mergeCell ref="R156:R158"/>
    <mergeCell ref="S156:S158"/>
    <mergeCell ref="S153:S155"/>
    <mergeCell ref="T153:T155"/>
    <mergeCell ref="U153:U155"/>
    <mergeCell ref="V156:V158"/>
    <mergeCell ref="W156:W158"/>
    <mergeCell ref="X156:X158"/>
    <mergeCell ref="Y156:Y158"/>
    <mergeCell ref="Y153:Y155"/>
    <mergeCell ref="G155:I155"/>
    <mergeCell ref="G156:G157"/>
    <mergeCell ref="J156:L158"/>
    <mergeCell ref="M156:N158"/>
    <mergeCell ref="O156:P158"/>
    <mergeCell ref="U159:U161"/>
    <mergeCell ref="G158:I158"/>
    <mergeCell ref="B159:B161"/>
    <mergeCell ref="C159:F161"/>
    <mergeCell ref="G159:I160"/>
    <mergeCell ref="J159:L161"/>
    <mergeCell ref="M159:N161"/>
    <mergeCell ref="T156:T158"/>
    <mergeCell ref="U156:U158"/>
    <mergeCell ref="C156:F158"/>
    <mergeCell ref="B162:B167"/>
    <mergeCell ref="C162:F164"/>
    <mergeCell ref="G162:G163"/>
    <mergeCell ref="J162:L164"/>
    <mergeCell ref="M162:N164"/>
    <mergeCell ref="O159:P161"/>
    <mergeCell ref="C165:F167"/>
    <mergeCell ref="G165:G166"/>
    <mergeCell ref="J165:L167"/>
    <mergeCell ref="M165:N167"/>
    <mergeCell ref="T162:T164"/>
    <mergeCell ref="V159:V161"/>
    <mergeCell ref="W159:W161"/>
    <mergeCell ref="X159:X161"/>
    <mergeCell ref="Y159:Y161"/>
    <mergeCell ref="G161:I161"/>
    <mergeCell ref="Q159:Q161"/>
    <mergeCell ref="R159:R161"/>
    <mergeCell ref="S159:S161"/>
    <mergeCell ref="T159:T161"/>
    <mergeCell ref="O165:P167"/>
    <mergeCell ref="U165:U167"/>
    <mergeCell ref="Q165:Q167"/>
    <mergeCell ref="W162:W164"/>
    <mergeCell ref="X162:X164"/>
    <mergeCell ref="Y162:Y164"/>
    <mergeCell ref="V162:V164"/>
    <mergeCell ref="U162:U164"/>
    <mergeCell ref="Y165:Y167"/>
    <mergeCell ref="T165:T167"/>
    <mergeCell ref="G164:I164"/>
    <mergeCell ref="O162:P164"/>
    <mergeCell ref="Q162:Q164"/>
    <mergeCell ref="R162:R164"/>
    <mergeCell ref="S162:S164"/>
    <mergeCell ref="B168:B173"/>
    <mergeCell ref="C168:F170"/>
    <mergeCell ref="G168:G169"/>
    <mergeCell ref="J168:L170"/>
    <mergeCell ref="M168:N170"/>
    <mergeCell ref="O168:P170"/>
    <mergeCell ref="C171:F173"/>
    <mergeCell ref="G171:G172"/>
    <mergeCell ref="J171:L173"/>
    <mergeCell ref="M171:N173"/>
    <mergeCell ref="X165:X167"/>
    <mergeCell ref="G167:I167"/>
    <mergeCell ref="Q168:Q170"/>
    <mergeCell ref="R165:R167"/>
    <mergeCell ref="S165:S167"/>
    <mergeCell ref="V165:V167"/>
    <mergeCell ref="W165:W167"/>
    <mergeCell ref="Q171:Q173"/>
    <mergeCell ref="V171:V173"/>
    <mergeCell ref="W171:W173"/>
    <mergeCell ref="X171:X173"/>
    <mergeCell ref="X168:X170"/>
    <mergeCell ref="U168:U170"/>
    <mergeCell ref="V168:V170"/>
    <mergeCell ref="W168:W170"/>
    <mergeCell ref="S171:S173"/>
    <mergeCell ref="T171:T173"/>
    <mergeCell ref="U171:U173"/>
    <mergeCell ref="Y168:Y170"/>
    <mergeCell ref="G170:I170"/>
    <mergeCell ref="R171:R173"/>
    <mergeCell ref="R168:R170"/>
    <mergeCell ref="S168:S170"/>
    <mergeCell ref="T168:T170"/>
    <mergeCell ref="O171:P173"/>
    <mergeCell ref="Y171:Y173"/>
    <mergeCell ref="G173:I173"/>
    <mergeCell ref="B174:B179"/>
    <mergeCell ref="C174:F176"/>
    <mergeCell ref="G174:G175"/>
    <mergeCell ref="J174:L176"/>
    <mergeCell ref="M174:N176"/>
    <mergeCell ref="O174:P176"/>
    <mergeCell ref="Q174:Q176"/>
    <mergeCell ref="R174:R176"/>
    <mergeCell ref="S174:S176"/>
    <mergeCell ref="T174:T176"/>
    <mergeCell ref="U174:U176"/>
    <mergeCell ref="V174:V176"/>
    <mergeCell ref="W174:W176"/>
    <mergeCell ref="X174:X176"/>
    <mergeCell ref="C177:F179"/>
    <mergeCell ref="G177:G178"/>
    <mergeCell ref="J177:L179"/>
    <mergeCell ref="M177:N179"/>
    <mergeCell ref="O177:P179"/>
    <mergeCell ref="Q177:Q179"/>
    <mergeCell ref="V180:W180"/>
    <mergeCell ref="X180:Y180"/>
    <mergeCell ref="T177:T179"/>
    <mergeCell ref="U177:U179"/>
    <mergeCell ref="V177:V179"/>
    <mergeCell ref="W177:W179"/>
    <mergeCell ref="X177:X179"/>
    <mergeCell ref="Y177:Y179"/>
    <mergeCell ref="AN36:AN38"/>
    <mergeCell ref="AM39:AM41"/>
    <mergeCell ref="AN39:AN41"/>
    <mergeCell ref="AJ42:AJ44"/>
    <mergeCell ref="AK42:AK44"/>
    <mergeCell ref="G179:I179"/>
    <mergeCell ref="Y174:Y176"/>
    <mergeCell ref="G176:I176"/>
    <mergeCell ref="R177:R179"/>
    <mergeCell ref="S177:S179"/>
    <mergeCell ref="F191:F192"/>
    <mergeCell ref="G191:I192"/>
    <mergeCell ref="F193:F194"/>
    <mergeCell ref="G193:I194"/>
    <mergeCell ref="X191:X197"/>
    <mergeCell ref="B189:E194"/>
    <mergeCell ref="F189:F190"/>
    <mergeCell ref="G189:I190"/>
    <mergeCell ref="X189:X190"/>
    <mergeCell ref="J195:P195"/>
    <mergeCell ref="F199:I199"/>
    <mergeCell ref="K199:L199"/>
    <mergeCell ref="B200:E200"/>
    <mergeCell ref="B196:L196"/>
    <mergeCell ref="B197:E198"/>
    <mergeCell ref="F197:L198"/>
    <mergeCell ref="I2:W4"/>
    <mergeCell ref="W7:W10"/>
    <mergeCell ref="U5:V6"/>
    <mergeCell ref="U7:V11"/>
    <mergeCell ref="S11:T11"/>
    <mergeCell ref="G47:I47"/>
    <mergeCell ref="U45:U47"/>
    <mergeCell ref="V45:V47"/>
    <mergeCell ref="W45:W47"/>
    <mergeCell ref="U42:U44"/>
    <mergeCell ref="Y189:Y190"/>
    <mergeCell ref="Z189:Z190"/>
    <mergeCell ref="AB7:AB10"/>
    <mergeCell ref="AC7:AC10"/>
    <mergeCell ref="AD7:AD10"/>
    <mergeCell ref="Z34:Z35"/>
    <mergeCell ref="Z42:Z44"/>
    <mergeCell ref="Z45:Z47"/>
    <mergeCell ref="AD36:AD38"/>
    <mergeCell ref="AA45:AA47"/>
  </mergeCells>
  <conditionalFormatting sqref="Q42:Z53 Q111:Z122">
    <cfRule type="cellIs" dxfId="5" priority="6" stopIfTrue="1" operator="notBetween">
      <formula>0.05</formula>
      <formula>-0.05</formula>
    </cfRule>
  </conditionalFormatting>
  <conditionalFormatting sqref="Q36:Z41">
    <cfRule type="cellIs" dxfId="4" priority="5" stopIfTrue="1" operator="notBetween">
      <formula>0.05</formula>
      <formula>0</formula>
    </cfRule>
  </conditionalFormatting>
  <conditionalFormatting sqref="Q54:Y110 Z54:Z71 Z93:Z110 Q123:Z155 Q162:Z164">
    <cfRule type="cellIs" dxfId="3" priority="4" stopIfTrue="1" operator="notBetween">
      <formula>0.2</formula>
      <formula>-0.2</formula>
    </cfRule>
  </conditionalFormatting>
  <conditionalFormatting sqref="Q156:Z158">
    <cfRule type="cellIs" dxfId="2" priority="3" stopIfTrue="1" operator="notBetween">
      <formula>1.5</formula>
      <formula>-1.5</formula>
    </cfRule>
  </conditionalFormatting>
  <conditionalFormatting sqref="Q159:Z161">
    <cfRule type="cellIs" dxfId="1" priority="2" stopIfTrue="1" operator="notBetween">
      <formula>0.03</formula>
      <formula>0</formula>
    </cfRule>
  </conditionalFormatting>
  <conditionalFormatting sqref="Q171:Z179">
    <cfRule type="cellIs" dxfId="0" priority="1" stopIfTrue="1" operator="notBetween">
      <formula>0.15</formula>
      <formula>-0.15</formula>
    </cfRule>
  </conditionalFormatting>
  <printOptions horizontalCentered="1" verticalCentered="1"/>
  <pageMargins left="0" right="0" top="0.19685039370078741" bottom="0" header="0" footer="0"/>
  <pageSetup paperSize="9" scale="33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CMM 10</vt:lpstr>
      <vt:lpstr>' CMM 10'!Print_Area</vt:lpstr>
    </vt:vector>
  </TitlesOfParts>
  <Company>PT Cairnhill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[K] Yudhi Nendra Kurniawan</cp:lastModifiedBy>
  <cp:lastPrinted>2026-05-17T07:07:15Z</cp:lastPrinted>
  <dcterms:created xsi:type="dcterms:W3CDTF">2007-03-30T01:28:37Z</dcterms:created>
  <dcterms:modified xsi:type="dcterms:W3CDTF">2026-05-17T07:22:03Z</dcterms:modified>
</cp:coreProperties>
</file>